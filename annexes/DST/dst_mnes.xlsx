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T M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<sst xmlns="http://schemas.openxmlformats.org/spreadsheetml/2006/main" count="76" uniqueCount="55">
  <si>
    <t xml:space="preserve">MNEs Liable to the French Digital Services Tax (TSN) — Global Revenue &amp; Profit</t>
  </si>
  <si>
    <t xml:space="preserve">Sorted by net margin (net income / revenue). Figures = latest reported full fiscal year per company filings. USD unless noted.</t>
  </si>
  <si>
    <t xml:space="preserve">Company</t>
  </si>
  <si>
    <t xml:space="preserve">Fiscal Year</t>
  </si>
  <si>
    <t xml:space="preserve">Revenue (USD, $B)</t>
  </si>
  <si>
    <t xml:space="preserve">Net Income (USD, $B)</t>
  </si>
  <si>
    <t xml:space="preserve">Net Margin</t>
  </si>
  <si>
    <t xml:space="preserve">Currency / FX Note</t>
  </si>
  <si>
    <t xml:space="preserve">Source</t>
  </si>
  <si>
    <t xml:space="preserve">Microsoft</t>
  </si>
  <si>
    <t xml:space="preserve">FY2025 (Jun)</t>
  </si>
  <si>
    <t xml:space="preserve">USD reported</t>
  </si>
  <si>
    <t xml:space="preserve">Microsoft FY25 Q4 earnings release, 30 Jul 2025 (SEC 8-K)</t>
  </si>
  <si>
    <t xml:space="preserve">Alphabet</t>
  </si>
  <si>
    <t xml:space="preserve">CY2025</t>
  </si>
  <si>
    <t xml:space="preserve">Alphabet FY2025 10-K / earnings release</t>
  </si>
  <si>
    <t xml:space="preserve">Meta</t>
  </si>
  <si>
    <t xml:space="preserve">Meta Q4/FY2025 results, 28 Jan 2026 (SEC 8-K)</t>
  </si>
  <si>
    <t xml:space="preserve">Apple</t>
  </si>
  <si>
    <t xml:space="preserve">FY2025 (Sep)</t>
  </si>
  <si>
    <t xml:space="preserve">Apple FY2025 10-K, filed 31 Oct 2025</t>
  </si>
  <si>
    <t xml:space="preserve">Airbnb</t>
  </si>
  <si>
    <t xml:space="preserve">Airbnb Q4/FY2025 Shareholder Letter, 12 Feb 2026</t>
  </si>
  <si>
    <t xml:space="preserve">Booking Holdings</t>
  </si>
  <si>
    <t xml:space="preserve">Booking Holdings FY2025 results (co. filings)</t>
  </si>
  <si>
    <t xml:space="preserve">Uber</t>
  </si>
  <si>
    <t xml:space="preserve">USD reported; incl. $4.9B one-time tax valuation benefit</t>
  </si>
  <si>
    <t xml:space="preserve">Uber Q4/FY2025 results, Feb 2026</t>
  </si>
  <si>
    <t xml:space="preserve">eBay</t>
  </si>
  <si>
    <t xml:space="preserve">eBay Q4/FY2025 results, 18 Feb 2026</t>
  </si>
  <si>
    <t xml:space="preserve">Match Group</t>
  </si>
  <si>
    <t xml:space="preserve">Match Group Q4/FY2025 results, 3 Feb 2026</t>
  </si>
  <si>
    <t xml:space="preserve">Alibaba</t>
  </si>
  <si>
    <t xml:space="preserve">FY2025</t>
  </si>
  <si>
    <t xml:space="preserve">Reported in RMB; converted by company to USD</t>
  </si>
  <si>
    <t xml:space="preserve">Alibaba 6-K, FY2025 (RMB996.3B / RMB126.0B)</t>
  </si>
  <si>
    <t xml:space="preserve">Amazon</t>
  </si>
  <si>
    <t xml:space="preserve">Amazon Q4/FY2025 results, 5 Feb 2026</t>
  </si>
  <si>
    <t xml:space="preserve">Expedia Group</t>
  </si>
  <si>
    <t xml:space="preserve">Expedia Group Q4/FY2025 results, 12 Feb 2026</t>
  </si>
  <si>
    <t xml:space="preserve">Criteo</t>
  </si>
  <si>
    <t xml:space="preserve">Criteo Q4/FY2025 results, 11 Feb 2026</t>
  </si>
  <si>
    <t xml:space="preserve">Zalando</t>
  </si>
  <si>
    <t xml:space="preserve">EUR12.35B revenue; approx. USD conversion ~1.09 EUR/USD; net income approx.</t>
  </si>
  <si>
    <t xml:space="preserve">Zalando FY2025 Fact Sheet, 12 Mar 2026; Macrotrends (ZLNDY)</t>
  </si>
  <si>
    <t xml:space="preserve">Rakuten</t>
  </si>
  <si>
    <t xml:space="preserve">JPY2,496.6B rev / -JPY177.8B net loss; approx. USD conversion ~150 JPY/USD</t>
  </si>
  <si>
    <t xml:space="preserve">Rakuten Group FY2025 results, 12 Feb 2026</t>
  </si>
  <si>
    <t xml:space="preserve">Total (15 groups)</t>
  </si>
  <si>
    <t xml:space="preserve">Notes:</t>
  </si>
  <si>
    <t xml:space="preserve">1. This is not an exhaustive list of DST-liable groups. DGFiP/Assemblee nationale data indicate ~36 groups were liable in 2021 (up from 27 in 2019); no official public list of names exists (companies self-assess against thresholds: &gt;EUR750M global digital-services revenue and &gt;EUR25M French digital-services revenue).</t>
  </si>
  <si>
    <t xml:space="preserve">2. Excluded from this table: Twitter/X (private, no disclosed financials since 2022), Groupon, Wish (small/volatile, not independently verified), Schibsted, Axel Springer (private since 2023), Amadeus, Sabre, Travelport (GDS/travel-tech; Travelport is private-equity owned), Randstad, Recruit Holdings (staffing conglomerates; digital-intermediation activity is a small unquantified share of total group revenue), Verizon (DST applies only to its online-advertising unit, a small fraction of group revenue).</t>
  </si>
  <si>
    <t xml:space="preserve">3. Alibaba and Rakuten figures reflect whole-group financials; only part of each group's business (marketplace/advertising) is the DST-taxable activity, so their margins are not directly comparable to firms that are pure digital-services businesses.</t>
  </si>
  <si>
    <t xml:space="preserve">4. Zalando and Rakuten involve currency conversion from EUR/JPY at approximate rates; treat as indicative.</t>
  </si>
  <si>
    <t xml:space="preserve">5. Figures are net income (bottom-line, GAAP/IFRS as reported), not the narrower revenue base subject to French DST (which is global revenue multiplied by a French-user-share coefficient, then taxed at 3%).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</si>
</sst>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"/>
    <numFmt numFmtId="166" formatCode="\$#,##0.0;&quot;($&quot;#,##0.0\)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40404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6" min="6" style="0" width="42"/>
    <col collapsed="false" customWidth="true" hidden="false" outlineLevel="0" max="7" min="7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281.7</v>
      </c>
      <c r="D5" s="6" t="n">
        <v>101.8</v>
      </c>
      <c r="E5" s="7" t="n">
        <f aca="false">D5/C5</f>
        <v>0.361377351792687</v>
      </c>
      <c r="F5" s="8" t="s">
        <v>11</v>
      </c>
      <c r="G5" s="8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5" t="n">
        <v>403</v>
      </c>
      <c r="D6" s="6" t="n">
        <v>132.2</v>
      </c>
      <c r="E6" s="7" t="n">
        <f aca="false">D6/C6</f>
        <v>0.328039702233251</v>
      </c>
      <c r="F6" s="8" t="s">
        <v>11</v>
      </c>
      <c r="G6" s="8" t="s">
        <v>15</v>
      </c>
    </row>
    <row r="7" customFormat="false" ht="15" hidden="false" customHeight="false" outlineLevel="0" collapsed="false">
      <c r="A7" s="4" t="s">
        <v>16</v>
      </c>
      <c r="B7" s="4" t="s">
        <v>14</v>
      </c>
      <c r="C7" s="5" t="n">
        <v>201</v>
      </c>
      <c r="D7" s="6" t="n">
        <v>60.5</v>
      </c>
      <c r="E7" s="7" t="n">
        <f aca="false">D7/C7</f>
        <v>0.300995024875622</v>
      </c>
      <c r="F7" s="8" t="s">
        <v>11</v>
      </c>
      <c r="G7" s="8" t="s">
        <v>17</v>
      </c>
    </row>
    <row r="8" customFormat="false" ht="15" hidden="false" customHeight="false" outlineLevel="0" collapsed="false">
      <c r="A8" s="4" t="s">
        <v>18</v>
      </c>
      <c r="B8" s="4" t="s">
        <v>19</v>
      </c>
      <c r="C8" s="5" t="n">
        <v>416.2</v>
      </c>
      <c r="D8" s="6" t="n">
        <v>112</v>
      </c>
      <c r="E8" s="7" t="n">
        <f aca="false">D8/C8</f>
        <v>0.269101393560788</v>
      </c>
      <c r="F8" s="8" t="s">
        <v>11</v>
      </c>
      <c r="G8" s="8" t="s">
        <v>20</v>
      </c>
    </row>
    <row r="9" customFormat="false" ht="15" hidden="false" customHeight="false" outlineLevel="0" collapsed="false">
      <c r="A9" s="4" t="s">
        <v>21</v>
      </c>
      <c r="B9" s="4" t="s">
        <v>14</v>
      </c>
      <c r="C9" s="5" t="n">
        <v>12.2</v>
      </c>
      <c r="D9" s="6" t="n">
        <v>2.5</v>
      </c>
      <c r="E9" s="7" t="n">
        <f aca="false">D9/C9</f>
        <v>0.204918032786885</v>
      </c>
      <c r="F9" s="8" t="s">
        <v>11</v>
      </c>
      <c r="G9" s="8" t="s">
        <v>22</v>
      </c>
    </row>
    <row r="10" customFormat="false" ht="15" hidden="false" customHeight="false" outlineLevel="0" collapsed="false">
      <c r="A10" s="4" t="s">
        <v>23</v>
      </c>
      <c r="B10" s="4" t="s">
        <v>14</v>
      </c>
      <c r="C10" s="5" t="n">
        <v>26.9</v>
      </c>
      <c r="D10" s="6" t="n">
        <v>5.4</v>
      </c>
      <c r="E10" s="7" t="n">
        <f aca="false">D10/C10</f>
        <v>0.200743494423792</v>
      </c>
      <c r="F10" s="8" t="s">
        <v>11</v>
      </c>
      <c r="G10" s="8" t="s">
        <v>24</v>
      </c>
    </row>
    <row r="11" customFormat="false" ht="15" hidden="false" customHeight="false" outlineLevel="0" collapsed="false">
      <c r="A11" s="4" t="s">
        <v>25</v>
      </c>
      <c r="B11" s="4" t="s">
        <v>14</v>
      </c>
      <c r="C11" s="5" t="n">
        <v>52</v>
      </c>
      <c r="D11" s="6" t="n">
        <v>10.1</v>
      </c>
      <c r="E11" s="7" t="n">
        <f aca="false">D11/C11</f>
        <v>0.194230769230769</v>
      </c>
      <c r="F11" s="8" t="s">
        <v>26</v>
      </c>
      <c r="G11" s="8" t="s">
        <v>27</v>
      </c>
    </row>
    <row r="12" customFormat="false" ht="15" hidden="false" customHeight="false" outlineLevel="0" collapsed="false">
      <c r="A12" s="4" t="s">
        <v>28</v>
      </c>
      <c r="B12" s="4" t="s">
        <v>14</v>
      </c>
      <c r="C12" s="5" t="n">
        <v>11.1</v>
      </c>
      <c r="D12" s="6" t="n">
        <v>2.031</v>
      </c>
      <c r="E12" s="7" t="n">
        <f aca="false">D12/C12</f>
        <v>0.182972972972973</v>
      </c>
      <c r="F12" s="8" t="s">
        <v>11</v>
      </c>
      <c r="G12" s="8" t="s">
        <v>29</v>
      </c>
    </row>
    <row r="13" customFormat="false" ht="15" hidden="false" customHeight="false" outlineLevel="0" collapsed="false">
      <c r="A13" s="4" t="s">
        <v>30</v>
      </c>
      <c r="B13" s="4" t="s">
        <v>14</v>
      </c>
      <c r="C13" s="5" t="n">
        <v>3.487</v>
      </c>
      <c r="D13" s="6" t="n">
        <v>0.613</v>
      </c>
      <c r="E13" s="7" t="n">
        <f aca="false">D13/C13</f>
        <v>0.175795813019788</v>
      </c>
      <c r="F13" s="8" t="s">
        <v>11</v>
      </c>
      <c r="G13" s="8" t="s">
        <v>31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5" t="n">
        <v>137.3</v>
      </c>
      <c r="D14" s="6" t="n">
        <v>17.36</v>
      </c>
      <c r="E14" s="7" t="n">
        <f aca="false">D14/C14</f>
        <v>0.126438455935907</v>
      </c>
      <c r="F14" s="8" t="s">
        <v>34</v>
      </c>
      <c r="G14" s="8" t="s">
        <v>35</v>
      </c>
    </row>
    <row r="15" customFormat="false" ht="15" hidden="false" customHeight="false" outlineLevel="0" collapsed="false">
      <c r="A15" s="4" t="s">
        <v>36</v>
      </c>
      <c r="B15" s="4" t="s">
        <v>14</v>
      </c>
      <c r="C15" s="5" t="n">
        <v>716.9</v>
      </c>
      <c r="D15" s="6" t="n">
        <v>77.7</v>
      </c>
      <c r="E15" s="7" t="n">
        <f aca="false">D15/C15</f>
        <v>0.108383317059562</v>
      </c>
      <c r="F15" s="8" t="s">
        <v>11</v>
      </c>
      <c r="G15" s="8" t="s">
        <v>37</v>
      </c>
    </row>
    <row r="16" customFormat="false" ht="15" hidden="false" customHeight="false" outlineLevel="0" collapsed="false">
      <c r="A16" s="4" t="s">
        <v>38</v>
      </c>
      <c r="B16" s="4" t="s">
        <v>14</v>
      </c>
      <c r="C16" s="5" t="n">
        <v>14.73</v>
      </c>
      <c r="D16" s="6" t="n">
        <v>1.29</v>
      </c>
      <c r="E16" s="7" t="n">
        <f aca="false">D16/C16</f>
        <v>0.0875763747454175</v>
      </c>
      <c r="F16" s="8" t="s">
        <v>11</v>
      </c>
      <c r="G16" s="8" t="s">
        <v>39</v>
      </c>
    </row>
    <row r="17" customFormat="false" ht="15" hidden="false" customHeight="false" outlineLevel="0" collapsed="false">
      <c r="A17" s="4" t="s">
        <v>40</v>
      </c>
      <c r="B17" s="4" t="s">
        <v>14</v>
      </c>
      <c r="C17" s="5" t="n">
        <v>1.945</v>
      </c>
      <c r="D17" s="6" t="n">
        <v>0.149</v>
      </c>
      <c r="E17" s="7" t="n">
        <f aca="false">D17/C17</f>
        <v>0.0766066838046273</v>
      </c>
      <c r="F17" s="8" t="s">
        <v>11</v>
      </c>
      <c r="G17" s="8" t="s">
        <v>41</v>
      </c>
    </row>
    <row r="18" customFormat="false" ht="15" hidden="false" customHeight="false" outlineLevel="0" collapsed="false">
      <c r="A18" s="4" t="s">
        <v>42</v>
      </c>
      <c r="B18" s="4" t="s">
        <v>14</v>
      </c>
      <c r="C18" s="5" t="n">
        <v>13.5</v>
      </c>
      <c r="D18" s="6" t="n">
        <v>0.28</v>
      </c>
      <c r="E18" s="7" t="n">
        <f aca="false">D18/C18</f>
        <v>0.0207407407407407</v>
      </c>
      <c r="F18" s="8" t="s">
        <v>43</v>
      </c>
      <c r="G18" s="8" t="s">
        <v>44</v>
      </c>
    </row>
    <row r="19" customFormat="false" ht="15" hidden="false" customHeight="false" outlineLevel="0" collapsed="false">
      <c r="A19" s="4" t="s">
        <v>45</v>
      </c>
      <c r="B19" s="4" t="s">
        <v>14</v>
      </c>
      <c r="C19" s="5" t="n">
        <v>16.7</v>
      </c>
      <c r="D19" s="6" t="n">
        <v>-1.19</v>
      </c>
      <c r="E19" s="7" t="n">
        <f aca="false">D19/C19</f>
        <v>-0.0712574850299401</v>
      </c>
      <c r="F19" s="8" t="s">
        <v>46</v>
      </c>
      <c r="G19" s="8" t="s">
        <v>47</v>
      </c>
    </row>
    <row r="20" customFormat="false" ht="15" hidden="false" customHeight="false" outlineLevel="0" collapsed="false">
      <c r="A20" s="9" t="s">
        <v>48</v>
      </c>
      <c r="B20" s="10"/>
      <c r="C20" s="11" t="n">
        <f aca="false">SUM(C5:C19)</f>
        <v>2308.662</v>
      </c>
      <c r="D20" s="12" t="n">
        <f aca="false">SUM(D5:D19)</f>
        <v>522.733</v>
      </c>
      <c r="E20" s="13" t="n">
        <f aca="false">D20/C20</f>
        <v>0.226422490602782</v>
      </c>
      <c r="F20" s="10"/>
      <c r="G20" s="10"/>
    </row>
    <row r="22" customFormat="false" ht="15" hidden="false" customHeight="true" outlineLevel="0" collapsed="false">
      <c r="A22" s="14" t="s">
        <v>49</v>
      </c>
      <c r="B22" s="14"/>
      <c r="C22" s="14"/>
      <c r="D22" s="14"/>
      <c r="E22" s="14"/>
      <c r="F22" s="14"/>
      <c r="G22" s="14"/>
    </row>
    <row r="23" customFormat="false" ht="22.35" hidden="false" customHeight="true" outlineLevel="0" collapsed="false">
      <c r="A23" s="15" t="s">
        <v>50</v>
      </c>
      <c r="B23" s="15"/>
      <c r="C23" s="15"/>
      <c r="D23" s="15"/>
      <c r="E23" s="15"/>
      <c r="F23" s="15"/>
      <c r="G23" s="15"/>
    </row>
    <row r="24" customFormat="false" ht="32.8" hidden="false" customHeight="true" outlineLevel="0" collapsed="false">
      <c r="A24" s="15" t="s">
        <v>51</v>
      </c>
      <c r="B24" s="15"/>
      <c r="C24" s="15"/>
      <c r="D24" s="15"/>
      <c r="E24" s="15"/>
      <c r="F24" s="15"/>
      <c r="G24" s="15"/>
    </row>
    <row r="25" customFormat="false" ht="22.35" hidden="false" customHeight="true" outlineLevel="0" collapsed="false">
      <c r="A25" s="15" t="s">
        <v>52</v>
      </c>
      <c r="B25" s="15"/>
      <c r="C25" s="15"/>
      <c r="D25" s="15"/>
      <c r="E25" s="15"/>
      <c r="F25" s="15"/>
      <c r="G25" s="15"/>
    </row>
    <row r="26" customFormat="false" ht="15" hidden="false" customHeight="true" outlineLevel="0" collapsed="false">
      <c r="A26" s="15" t="s">
        <v>53</v>
      </c>
      <c r="B26" s="15"/>
      <c r="C26" s="15"/>
      <c r="D26" s="15"/>
      <c r="E26" s="15"/>
      <c r="F26" s="15"/>
      <c r="G26" s="15"/>
    </row>
    <row r="27" customFormat="false" ht="15" hidden="false" customHeight="true" outlineLevel="0" collapsed="false">
      <c r="A27" s="15" t="s">
        <v>54</v>
      </c>
      <c r="B27" s="15"/>
      <c r="C27" s="15"/>
      <c r="D27" s="15"/>
      <c r="E27" s="15"/>
      <c r="F27" s="15"/>
      <c r="G27" s="15"/>
    </row>
  </sheetData>
  <mergeCells count="8">
    <mergeCell ref="A1:G1"/>
    <mergeCell ref="A2:G2"/>
    <mergeCell ref="A22:G22"/>
    <mergeCell ref="A23:G23"/>
    <mergeCell ref="A24:G24"/>
    <mergeCell ref="A25:G25"/>
    <mergeCell ref="A26:G26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2026-07-17T16:54:26Z</dcterms:created>
  <dc:creator>openpyxl</dc:creator>
  <dc:description/>
  <dc:language>en-US</dc:language>
  <cp:lastModifiedBy/>
  <dcterms:modified xsi:type="dcterms:W3CDTF">2026-07-17T16:54:26Z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