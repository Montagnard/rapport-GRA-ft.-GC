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<sst xmlns="http://schemas.openxmlformats.org/spreadsheetml/2006/main" count="77" uniqueCount="64">
  <si>
    <t xml:space="preserve">Country</t>
  </si>
  <si>
    <t xml:space="preserve">Aviation carbon tax</t>
  </si>
  <si>
    <t xml:space="preserve">Luxury tax</t>
  </si>
  <si>
    <t xml:space="preserve">GDP 2025 (Eurostat)</t>
  </si>
  <si>
    <t xml:space="preserve">M3 (2028)</t>
  </si>
  <si>
    <t xml:space="preserve">Yield (EUR m)</t>
  </si>
  <si>
    <t xml:space="preserve">Estimated revenue</t>
  </si>
  <si>
    <t xml:space="preserve">Central</t>
  </si>
  <si>
    <t xml:space="preserve">Rev. share</t>
  </si>
  <si>
    <t xml:space="preserve">Base</t>
  </si>
  <si>
    <t xml:space="preserve">Rev.</t>
  </si>
  <si>
    <t xml:space="preserve">GDP</t>
  </si>
  <si>
    <t xml:space="preserve">Ratio</t>
  </si>
  <si>
    <t xml:space="preserve">Share s</t>
  </si>
  <si>
    <t xml:space="preserve">With reduced share (55)</t>
  </si>
  <si>
    <t xml:space="preserve">proj.</t>
  </si>
  <si>
    <t xml:space="preserve">EUR million, 0.5% rate</t>
  </si>
  <si>
    <t xml:space="preserve">(%)</t>
  </si>
  <si>
    <t xml:space="preserve">(EUR bn)</t>
  </si>
  <si>
    <t xml:space="preserve">NOR total (Ad 80%)</t>
  </si>
  <si>
    <t xml:space="preserve">rapporté au PIB ( %)</t>
  </si>
  <si>
    <t xml:space="preserve">50 bn répartis par s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</si>
  <si>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</si>
  <si>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</si>
  <si>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</si>
  <si>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</si>
  <si>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Luxury VAT</t>
  </si>
  <si>
    <t xml:space="preserve">Austria</t>
  </si>
  <si>
    <t xml:space="preserve">Belgium</t>
  </si>
  <si>
    <t xml:space="preserve">Bulgaria</t>
  </si>
  <si>
    <t xml:space="preserve">Croatia</t>
  </si>
  <si>
    <t xml:space="preserve">Cyprus</t>
  </si>
  <si>
    <t xml:space="preserve">Czechia</t>
  </si>
  <si>
    <t xml:space="preserve">Denmark</t>
  </si>
  <si>
    <t xml:space="preserve">Estonia</t>
  </si>
  <si>
    <t xml:space="preserve">Finland</t>
  </si>
  <si>
    <t xml:space="preserve">France</t>
  </si>
  <si>
    <t xml:space="preserve">Germany</t>
  </si>
  <si>
    <t xml:space="preserve">Greece</t>
  </si>
  <si>
    <t xml:space="preserve">Hungary</t>
  </si>
  <si>
    <t xml:space="preserve">Ireland</t>
  </si>
  <si>
    <t xml:space="preserve">Italy</t>
  </si>
  <si>
    <t xml:space="preserve">Latvia</t>
  </si>
  <si>
    <t xml:space="preserve">Lithuania</t>
  </si>
  <si>
    <t xml:space="preserve">Luxembourg</t>
  </si>
  <si>
    <t xml:space="preserve">Malta</t>
  </si>
  <si>
    <t xml:space="preserve">Netherlands</t>
  </si>
  <si>
    <t xml:space="preserve">Poland</t>
  </si>
  <si>
    <t xml:space="preserve">Portugal</t>
  </si>
  <si>
    <t xml:space="preserve">Romania</t>
  </si>
  <si>
    <t xml:space="preserve">Slovakia</t>
  </si>
  <si>
    <t xml:space="preserve">Slovenia</t>
  </si>
  <si>
    <t xml:space="preserve">Spain</t>
  </si>
  <si>
    <t xml:space="preserve">Sweden</t>
  </si>
  <si>
    <t xml:space="preserve">European Union</t>
  </si>
  <si>
    <t xml:space="preserve">Budget 2026 </t>
  </si>
  <si>
    <t xml:space="preserve">share GNI</t>
  </si>
  <si>
    <t xml:space="preserve">GNI contrib reduction</t>
  </si>
  <si>
    <t xml:space="preserve">Ajout budg</t>
  </si>
  <si>
    <t xml:space="preserve">New budg</t>
  </si>
  <si>
    <t xml:space="preserve">PAS TOUCHER LIGNES EN DESSOUS MERCI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</si>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</sst>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FFFFFF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650953"/>
        <bgColor rgb="FF800080"/>
      </patternFill>
    </fill>
    <fill>
      <patternFill patternType="solid">
        <fgColor rgb="FF5983B0"/>
        <bgColor rgb="FF808080"/>
      </patternFill>
    </fill>
    <fill>
      <patternFill patternType="solid">
        <fgColor rgb="FFFFBF00"/>
        <bgColor rgb="FFFFC000"/>
      </patternFill>
    </fill>
    <fill>
      <patternFill patternType="solid">
        <fgColor rgb="FFF2F7FF"/>
        <bgColor rgb="FFFFFFFF"/>
      </patternFill>
    </fill>
    <fill>
      <patternFill patternType="solid">
        <fgColor rgb="FFB4C7DC"/>
        <bgColor rgb="FFCCCCFF"/>
      </patternFill>
    </fill>
    <fill>
      <patternFill patternType="solid">
        <fgColor rgb="FF00A933"/>
        <bgColor rgb="FF008000"/>
      </patternFill>
    </fill>
    <fill>
      <patternFill patternType="solid">
        <fgColor rgb="FF333333"/>
        <bgColor rgb="FF333300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2F7FF"/>
      <rgbColor rgb="FFCCFFFF"/>
      <rgbColor rgb="FF650953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5983B0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G22" activeCellId="0" sqref="G2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20"/>
    <col collapsed="false" customWidth="true" hidden="false" outlineLevel="0" max="6" min="6" style="1" width="15.07"/>
    <col collapsed="false" customWidth="true" hidden="false" outlineLevel="0" max="7" min="7" style="1" width="18.25"/>
    <col collapsed="false" customWidth="true" hidden="false" outlineLevel="0" max="14" min="14" style="1" width="18.88"/>
    <col collapsed="false" customWidth="true" hidden="false" outlineLevel="0" max="16" min="16" style="1" width="10.41"/>
    <col collapsed="false" customWidth="true" hidden="false" outlineLevel="0" max="17" min="17" style="1" width="14.58"/>
    <col collapsed="false" customWidth="true" hidden="false" outlineLevel="0" max="18" min="18" style="1" width="11.76"/>
    <col collapsed="false" customWidth="true" hidden="false" outlineLevel="0" max="16384" min="16336" style="1" width="10.16"/>
  </cols>
  <sheetData>
    <row r="1" s="4" customFormat="true" ht="19.5" hidden="false" customHeight="true" outlineLevel="0" collapsed="false">
      <c r="A1" s="2" t="s">
        <v>0</v>
      </c>
      <c r="B1" s="3"/>
      <c r="C1" s="3"/>
      <c r="D1" s="3"/>
      <c r="E1" s="2"/>
      <c r="F1" s="4" t="s">
        <v>1</v>
      </c>
      <c r="H1" s="4" t="s">
        <v>2</v>
      </c>
      <c r="N1" s="4" t="s">
        <v>3</v>
      </c>
      <c r="XFD1" s="1"/>
    </row>
    <row r="2" s="6" customFormat="true" ht="30" hidden="false" customHeight="true" outlineLevel="0" collapsed="false">
      <c r="A2" s="2"/>
      <c r="B2" s="5" t="s">
        <v>4</v>
      </c>
      <c r="C2" s="5" t="s">
        <v>5</v>
      </c>
      <c r="D2" s="5" t="s">
        <v>6</v>
      </c>
      <c r="E2" s="5" t="s">
        <v>7</v>
      </c>
      <c r="F2" s="6" t="s">
        <v>8</v>
      </c>
      <c r="H2" s="6" t="s">
        <v>9</v>
      </c>
      <c r="I2" s="6" t="s">
        <v>10</v>
      </c>
      <c r="L2" s="6" t="s">
        <v>11</v>
      </c>
      <c r="M2" s="6" t="s">
        <v>12</v>
      </c>
      <c r="N2" s="6" t="s">
        <v>11</v>
      </c>
      <c r="O2" s="6" t="s">
        <v>13</v>
      </c>
      <c r="Q2" s="6" t="s">
        <v>14</v>
      </c>
      <c r="XFD2" s="1"/>
    </row>
    <row r="3" s="6" customFormat="true" ht="19.5" hidden="false" customHeight="true" outlineLevel="0" collapsed="false">
      <c r="A3" s="2"/>
      <c r="B3" s="5" t="s">
        <v>15</v>
      </c>
      <c r="C3" s="5"/>
      <c r="D3" s="5" t="s">
        <v>16</v>
      </c>
      <c r="E3" s="5"/>
      <c r="F3" s="6" t="s">
        <v>17</v>
      </c>
      <c r="H3" s="6" t="s">
        <v>18</v>
      </c>
      <c r="I3" s="6" t="s">
        <v>17</v>
      </c>
      <c r="L3" s="6" t="s">
        <v>17</v>
      </c>
      <c r="N3" s="6" t="s">
        <v>18</v>
      </c>
      <c r="O3" s="6" t="s">
        <v>17</v>
      </c>
      <c r="P3" s="6" t="s">
        <v>19</v>
      </c>
      <c r="Q3" s="7"/>
      <c r="R3" s="6" t="s">
        <v>20</v>
      </c>
      <c r="T3" s="6" t="s">
        <v>21</v>
      </c>
      <c r="XFD3" s="1"/>
    </row>
    <row r="4" s="10" customFormat="true" ht="18" hidden="false" customHeight="true" outlineLevel="0" collapsed="false">
      <c r="A4" s="8"/>
      <c r="B4" s="9" t="s">
        <v>22</v>
      </c>
      <c r="C4" s="9" t="s">
        <v>23</v>
      </c>
      <c r="D4" s="9" t="s">
        <v>24</v>
      </c>
      <c r="E4" s="9" t="s">
        <v>25</v>
      </c>
      <c r="G4" s="9" t="s">
        <v>1</v>
      </c>
      <c r="J4" s="9" t="s">
        <v>26</v>
      </c>
      <c r="N4" s="9"/>
      <c r="XDH4" s="9"/>
      <c r="XDI4" s="9"/>
      <c r="XDJ4" s="9"/>
      <c r="XDK4" s="9"/>
      <c r="XDL4" s="9"/>
      <c r="XDM4" s="9"/>
      <c r="XDN4" s="9"/>
      <c r="XDO4" s="9"/>
      <c r="XDP4" s="9"/>
      <c r="XDQ4" s="9"/>
      <c r="XDR4" s="9"/>
      <c r="XDS4" s="9"/>
      <c r="XDT4" s="9"/>
      <c r="XDU4" s="9"/>
      <c r="XDV4" s="9"/>
      <c r="XDW4" s="9"/>
      <c r="XDX4" s="9"/>
      <c r="XDY4" s="9"/>
      <c r="XDZ4" s="9"/>
      <c r="XEA4" s="9"/>
      <c r="XEB4" s="9"/>
      <c r="XEC4" s="9"/>
      <c r="XED4" s="9"/>
      <c r="XEE4" s="9"/>
      <c r="XEF4" s="9"/>
      <c r="XEG4" s="9"/>
      <c r="XEH4" s="9"/>
      <c r="XEI4" s="9"/>
      <c r="XEJ4" s="9"/>
      <c r="XEK4" s="9"/>
      <c r="XEL4" s="9"/>
      <c r="XEM4" s="9"/>
      <c r="XEN4" s="9"/>
      <c r="XEO4" s="9"/>
      <c r="XEP4" s="9"/>
      <c r="XEQ4" s="9"/>
      <c r="XFC4" s="1"/>
      <c r="XFD4" s="1"/>
    </row>
    <row r="5" customFormat="false" ht="15" hidden="false" customHeight="true" outlineLevel="0" collapsed="false">
      <c r="A5" s="11" t="s">
        <v>27</v>
      </c>
      <c r="B5" s="12" t="n">
        <v>141</v>
      </c>
      <c r="C5" s="12" t="n">
        <v>446</v>
      </c>
      <c r="D5" s="13" t="n">
        <v>26.4</v>
      </c>
      <c r="E5" s="12" t="n">
        <v>920</v>
      </c>
      <c r="F5" s="1" t="n">
        <v>2.09</v>
      </c>
      <c r="G5" s="1" t="n">
        <f aca="false">F5*F$34*1000/100</f>
        <v>1943.7</v>
      </c>
      <c r="H5" s="1" t="n">
        <v>9.9</v>
      </c>
      <c r="I5" s="1" t="n">
        <v>3.3</v>
      </c>
      <c r="J5" s="1" t="n">
        <f aca="false">I5*I$34/100*1000</f>
        <v>1452</v>
      </c>
      <c r="K5" s="1" t="n">
        <v>1.452</v>
      </c>
      <c r="L5" s="1" t="n">
        <v>2.8</v>
      </c>
      <c r="M5" s="1" t="n">
        <v>1.18</v>
      </c>
      <c r="N5" s="1" t="n">
        <v>514.3</v>
      </c>
      <c r="O5" s="1" t="n">
        <v>2.74</v>
      </c>
      <c r="P5" s="1" t="n">
        <f aca="false">E5+D5+B5+0.8*C5+G5+J5</f>
        <v>4839.9</v>
      </c>
      <c r="Q5" s="1" t="n">
        <f aca="false">P5-$Q$34*O5/100</f>
        <v>3332.9</v>
      </c>
      <c r="R5" s="1" t="n">
        <f aca="false">Q5/N5</f>
        <v>6.48045887614233</v>
      </c>
      <c r="T5" s="1" t="n">
        <f aca="false">O5*50000/100</f>
        <v>1370</v>
      </c>
    </row>
    <row r="6" customFormat="false" ht="15" hidden="false" customHeight="true" outlineLevel="0" collapsed="false">
      <c r="A6" s="14" t="s">
        <v>28</v>
      </c>
      <c r="B6" s="15" t="n">
        <v>200</v>
      </c>
      <c r="C6" s="15" t="n">
        <v>248</v>
      </c>
      <c r="D6" s="16" t="n">
        <v>61.1</v>
      </c>
      <c r="E6" s="15" t="n">
        <v>722</v>
      </c>
      <c r="F6" s="1" t="n">
        <v>3.36</v>
      </c>
      <c r="G6" s="1" t="n">
        <f aca="false">F6*F$34*1000/100</f>
        <v>3124.8</v>
      </c>
      <c r="H6" s="1" t="n">
        <v>9.8</v>
      </c>
      <c r="I6" s="1" t="n">
        <v>3.3</v>
      </c>
      <c r="J6" s="1" t="n">
        <f aca="false">I6*I$34/100*1000</f>
        <v>1452</v>
      </c>
      <c r="K6" s="1" t="n">
        <v>1.452</v>
      </c>
      <c r="L6" s="1" t="n">
        <v>3.5</v>
      </c>
      <c r="M6" s="1" t="n">
        <v>0.93</v>
      </c>
      <c r="N6" s="1" t="n">
        <v>642</v>
      </c>
      <c r="O6" s="1" t="n">
        <v>3.42</v>
      </c>
      <c r="P6" s="1" t="n">
        <f aca="false">E6+D6+B6+0.8*C6+G6+J6</f>
        <v>5758.3</v>
      </c>
      <c r="Q6" s="1" t="n">
        <f aca="false">P6-$Q$34*O6/100</f>
        <v>3877.3</v>
      </c>
      <c r="R6" s="1" t="n">
        <f aca="false">Q6/N6</f>
        <v>6.03940809968847</v>
      </c>
      <c r="T6" s="1" t="n">
        <f aca="false">O6*50000/100</f>
        <v>1710</v>
      </c>
    </row>
    <row r="7" customFormat="false" ht="15" hidden="false" customHeight="true" outlineLevel="0" collapsed="false">
      <c r="A7" s="11" t="s">
        <v>29</v>
      </c>
      <c r="B7" s="12" t="n">
        <v>38</v>
      </c>
      <c r="C7" s="12" t="n">
        <v>24</v>
      </c>
      <c r="D7" s="13" t="n">
        <v>0.2</v>
      </c>
      <c r="E7" s="12" t="n">
        <v>40</v>
      </c>
      <c r="F7" s="1" t="n">
        <v>0.4</v>
      </c>
      <c r="G7" s="1" t="n">
        <f aca="false">F7*F$34*1000/100</f>
        <v>372</v>
      </c>
      <c r="H7" s="1" t="n">
        <v>1.6</v>
      </c>
      <c r="I7" s="1" t="n">
        <v>0.5</v>
      </c>
      <c r="J7" s="1" t="n">
        <f aca="false">I7*I$34/100*1000</f>
        <v>220</v>
      </c>
      <c r="K7" s="1" t="n">
        <v>0.22</v>
      </c>
      <c r="L7" s="1" t="n">
        <v>0.6</v>
      </c>
      <c r="M7" s="1" t="n">
        <v>0.88</v>
      </c>
      <c r="N7" s="1" t="n">
        <v>116</v>
      </c>
      <c r="O7" s="1" t="n">
        <v>0.62</v>
      </c>
      <c r="P7" s="1" t="n">
        <f aca="false">E7+D7+B7+0.8*C7+G7+J7</f>
        <v>689.4</v>
      </c>
      <c r="Q7" s="1" t="n">
        <f aca="false">P7-$Q$34*O7/100</f>
        <v>348.4</v>
      </c>
      <c r="R7" s="1" t="n">
        <f aca="false">Q7/N7</f>
        <v>3.00344827586207</v>
      </c>
      <c r="T7" s="1" t="n">
        <f aca="false">O7*50000/100</f>
        <v>310</v>
      </c>
    </row>
    <row r="8" customFormat="false" ht="15" hidden="false" customHeight="true" outlineLevel="0" collapsed="false">
      <c r="A8" s="14" t="s">
        <v>30</v>
      </c>
      <c r="B8" s="15" t="n">
        <v>46</v>
      </c>
      <c r="C8" s="15" t="n">
        <v>36</v>
      </c>
      <c r="D8" s="16" t="n">
        <v>0.3</v>
      </c>
      <c r="E8" s="15" t="n">
        <v>36</v>
      </c>
      <c r="F8" s="1" t="n">
        <v>0.39</v>
      </c>
      <c r="G8" s="1" t="n">
        <f aca="false">F8*F$34*1000/100</f>
        <v>362.7</v>
      </c>
      <c r="H8" s="1" t="n">
        <v>2.3</v>
      </c>
      <c r="I8" s="1" t="n">
        <v>0.8</v>
      </c>
      <c r="J8" s="1" t="n">
        <f aca="false">I8*I$34/100*1000</f>
        <v>352</v>
      </c>
      <c r="K8" s="1" t="n">
        <v>0.352</v>
      </c>
      <c r="L8" s="1" t="n">
        <v>0.5</v>
      </c>
      <c r="M8" s="1" t="n">
        <v>1.55</v>
      </c>
      <c r="N8" s="1" t="n">
        <v>93</v>
      </c>
      <c r="O8" s="1" t="n">
        <v>0.49</v>
      </c>
      <c r="P8" s="1" t="n">
        <f aca="false">E8+D8+B8+0.8*C8+G8+J8</f>
        <v>825.8</v>
      </c>
      <c r="Q8" s="1" t="n">
        <f aca="false">P8-$Q$34*O8/100</f>
        <v>556.3</v>
      </c>
      <c r="R8" s="1" t="n">
        <f aca="false">ROUND(Q8/N8 *100/1000, 2)</f>
        <v>0.6</v>
      </c>
      <c r="T8" s="1" t="n">
        <f aca="false">O8*50000/100</f>
        <v>245</v>
      </c>
    </row>
    <row r="9" customFormat="false" ht="15" hidden="false" customHeight="true" outlineLevel="0" collapsed="false">
      <c r="A9" s="11" t="s">
        <v>31</v>
      </c>
      <c r="B9" s="12" t="n">
        <v>16</v>
      </c>
      <c r="C9" s="11"/>
      <c r="D9" s="13" t="n">
        <v>0.8</v>
      </c>
      <c r="E9" s="12" t="n">
        <v>46</v>
      </c>
      <c r="F9" s="1" t="n">
        <v>0.8</v>
      </c>
      <c r="G9" s="1" t="n">
        <f aca="false">F9*F$34*1000/100</f>
        <v>744</v>
      </c>
      <c r="H9" s="1" t="n">
        <v>1.5</v>
      </c>
      <c r="I9" s="1" t="n">
        <v>0.5</v>
      </c>
      <c r="J9" s="1" t="n">
        <f aca="false">I9*I$34/100*1000</f>
        <v>220</v>
      </c>
      <c r="K9" s="1" t="n">
        <v>0.22</v>
      </c>
      <c r="L9" s="1" t="n">
        <v>0.2</v>
      </c>
      <c r="M9" s="1" t="n">
        <v>2.44</v>
      </c>
      <c r="N9" s="1" t="n">
        <v>36.5</v>
      </c>
      <c r="O9" s="1" t="n">
        <v>0.19</v>
      </c>
      <c r="P9" s="1" t="n">
        <f aca="false">E9+D9+B9+0.8*C9+G9+J9</f>
        <v>1026.8</v>
      </c>
      <c r="Q9" s="1" t="n">
        <f aca="false">P9-$Q$34*O9/100</f>
        <v>922.3</v>
      </c>
      <c r="R9" s="1" t="n">
        <f aca="false">ROUND(Q9/N9 *100/1000, 2)</f>
        <v>2.53</v>
      </c>
      <c r="T9" s="1" t="n">
        <f aca="false">O9*50000/100</f>
        <v>95</v>
      </c>
    </row>
    <row r="10" customFormat="false" ht="15" hidden="false" customHeight="true" outlineLevel="0" collapsed="false">
      <c r="A10" s="14" t="s">
        <v>32</v>
      </c>
      <c r="B10" s="15" t="n">
        <v>177</v>
      </c>
      <c r="C10" s="15" t="n">
        <v>355</v>
      </c>
      <c r="D10" s="16" t="n">
        <v>3.8</v>
      </c>
      <c r="E10" s="15" t="n">
        <v>348</v>
      </c>
      <c r="F10" s="1" t="n">
        <v>0.69</v>
      </c>
      <c r="G10" s="1" t="n">
        <f aca="false">F10*F$34*1000/100</f>
        <v>641.7</v>
      </c>
      <c r="H10" s="1" t="n">
        <v>4.6</v>
      </c>
      <c r="I10" s="1" t="n">
        <v>1.5</v>
      </c>
      <c r="J10" s="1" t="n">
        <f aca="false">I10*I$34/100*1000</f>
        <v>660</v>
      </c>
      <c r="K10" s="1" t="n">
        <v>0.66</v>
      </c>
      <c r="L10" s="1" t="n">
        <v>2</v>
      </c>
      <c r="M10" s="1" t="n">
        <v>0.77</v>
      </c>
      <c r="N10" s="1" t="n">
        <v>347.3</v>
      </c>
      <c r="O10" s="1" t="n">
        <v>1.85</v>
      </c>
      <c r="P10" s="1" t="n">
        <f aca="false">E10+D10+B10+0.8*C10+G10+J10</f>
        <v>2114.5</v>
      </c>
      <c r="Q10" s="1" t="n">
        <f aca="false">P10-$Q$34*O10/100</f>
        <v>1097</v>
      </c>
      <c r="R10" s="1" t="n">
        <f aca="false">ROUND(Q10/N10 *100/1000, 2)</f>
        <v>0.32</v>
      </c>
      <c r="T10" s="1" t="n">
        <f aca="false">O10*50000/100</f>
        <v>925</v>
      </c>
    </row>
    <row r="11" customFormat="false" ht="15" hidden="false" customHeight="true" outlineLevel="0" collapsed="false">
      <c r="A11" s="11" t="s">
        <v>33</v>
      </c>
      <c r="B11" s="12" t="n">
        <v>106</v>
      </c>
      <c r="C11" s="12" t="n">
        <v>350</v>
      </c>
      <c r="D11" s="13" t="n">
        <v>113.8</v>
      </c>
      <c r="E11" s="12" t="n">
        <v>533</v>
      </c>
      <c r="F11" s="1" t="n">
        <v>1.85</v>
      </c>
      <c r="G11" s="1" t="n">
        <f aca="false">F11*F$34*1000/100</f>
        <v>1720.5</v>
      </c>
      <c r="H11" s="1" t="n">
        <v>4.2</v>
      </c>
      <c r="I11" s="1" t="n">
        <v>1.4</v>
      </c>
      <c r="J11" s="1" t="n">
        <f aca="false">I11*I$34/100*1000</f>
        <v>616</v>
      </c>
      <c r="K11" s="1" t="n">
        <v>0.616</v>
      </c>
      <c r="L11" s="1" t="n">
        <v>2.3</v>
      </c>
      <c r="M11" s="1" t="n">
        <v>0.62</v>
      </c>
      <c r="N11" s="1" t="n">
        <v>417.8</v>
      </c>
      <c r="O11" s="1" t="n">
        <v>2.22</v>
      </c>
      <c r="P11" s="1" t="n">
        <f aca="false">E11+D11+B11+0.8*C11+G11+J11</f>
        <v>3369.3</v>
      </c>
      <c r="Q11" s="1" t="n">
        <f aca="false">P11-$Q$34*O11/100</f>
        <v>2148.3</v>
      </c>
      <c r="R11" s="1" t="n">
        <f aca="false">ROUND(Q11/N11 *100/1000, 2)</f>
        <v>0.51</v>
      </c>
      <c r="T11" s="1" t="n">
        <f aca="false">O11*50000/100</f>
        <v>1110</v>
      </c>
    </row>
    <row r="12" customFormat="false" ht="15" hidden="false" customHeight="true" outlineLevel="0" collapsed="false">
      <c r="A12" s="14" t="s">
        <v>34</v>
      </c>
      <c r="B12" s="15" t="n">
        <v>23</v>
      </c>
      <c r="C12" s="15" t="n">
        <v>29</v>
      </c>
      <c r="D12" s="16" t="n">
        <v>0.1</v>
      </c>
      <c r="E12" s="15" t="n">
        <v>29</v>
      </c>
      <c r="F12" s="1" t="n">
        <v>0.1</v>
      </c>
      <c r="G12" s="1" t="n">
        <f aca="false">F12*F$34*1000/100</f>
        <v>93</v>
      </c>
      <c r="H12" s="1" t="n">
        <v>0.5</v>
      </c>
      <c r="I12" s="1" t="n">
        <v>0.2</v>
      </c>
      <c r="J12" s="1" t="n">
        <f aca="false">I12*I$34/100*1000</f>
        <v>88</v>
      </c>
      <c r="K12" s="1" t="n">
        <v>0.088</v>
      </c>
      <c r="L12" s="1" t="n">
        <v>0.2</v>
      </c>
      <c r="M12" s="1" t="n">
        <v>0.91</v>
      </c>
      <c r="N12" s="1" t="n">
        <v>41.9</v>
      </c>
      <c r="O12" s="1" t="n">
        <v>0.22</v>
      </c>
      <c r="P12" s="1" t="n">
        <f aca="false">E12+D12+B12+0.8*C12+G12+J12</f>
        <v>256.3</v>
      </c>
      <c r="Q12" s="1" t="n">
        <f aca="false">P12-$Q$34*O12/100</f>
        <v>135.3</v>
      </c>
      <c r="R12" s="1" t="n">
        <f aca="false">ROUND(Q12/N12 *100/1000, 2)</f>
        <v>0.32</v>
      </c>
      <c r="T12" s="1" t="n">
        <f aca="false">O12*50000/100</f>
        <v>110</v>
      </c>
    </row>
    <row r="13" customFormat="false" ht="15" hidden="false" customHeight="true" outlineLevel="0" collapsed="false">
      <c r="A13" s="11" t="s">
        <v>35</v>
      </c>
      <c r="B13" s="12" t="n">
        <v>97</v>
      </c>
      <c r="C13" s="12" t="n">
        <v>181</v>
      </c>
      <c r="D13" s="13" t="n">
        <v>81.3</v>
      </c>
      <c r="E13" s="12" t="n">
        <v>152</v>
      </c>
      <c r="F13" s="1" t="n">
        <v>1.57</v>
      </c>
      <c r="G13" s="1" t="n">
        <f aca="false">F13*F$34*1000/100</f>
        <v>1460.1</v>
      </c>
      <c r="H13" s="1" t="n">
        <v>2.9</v>
      </c>
      <c r="I13" s="1" t="n">
        <v>1</v>
      </c>
      <c r="J13" s="1" t="n">
        <f aca="false">I13*I$34/100*1000</f>
        <v>440</v>
      </c>
      <c r="K13" s="1" t="n">
        <v>0.44</v>
      </c>
      <c r="L13" s="1" t="n">
        <v>1.6</v>
      </c>
      <c r="M13" s="1" t="n">
        <v>0.61</v>
      </c>
      <c r="N13" s="1" t="n">
        <v>281.7</v>
      </c>
      <c r="O13" s="1" t="n">
        <v>1.5</v>
      </c>
      <c r="P13" s="1" t="n">
        <f aca="false">E13+D13+B13+0.8*C13+G13+J13</f>
        <v>2375.2</v>
      </c>
      <c r="Q13" s="1" t="n">
        <f aca="false">P13-$Q$34*O13/100</f>
        <v>1550.2</v>
      </c>
      <c r="R13" s="1" t="n">
        <f aca="false">ROUND(Q13/N13 *100/1000, 2)</f>
        <v>0.55</v>
      </c>
      <c r="T13" s="1" t="n">
        <f aca="false">O13*50000/100</f>
        <v>750</v>
      </c>
    </row>
    <row r="14" customFormat="false" ht="15" hidden="false" customHeight="true" outlineLevel="0" collapsed="false">
      <c r="A14" s="14" t="s">
        <v>36</v>
      </c>
      <c r="B14" s="15" t="n">
        <v>1078</v>
      </c>
      <c r="C14" s="15" t="n">
        <v>2287</v>
      </c>
      <c r="D14" s="15" t="n">
        <v>3100</v>
      </c>
      <c r="E14" s="15" t="n">
        <v>6670</v>
      </c>
      <c r="F14" s="1" t="n">
        <v>17.13</v>
      </c>
      <c r="G14" s="1" t="n">
        <f aca="false">F14*F$34*1000/100</f>
        <v>15930.9</v>
      </c>
      <c r="H14" s="1" t="n">
        <v>62</v>
      </c>
      <c r="I14" s="1" t="n">
        <v>20.7</v>
      </c>
      <c r="J14" s="1" t="n">
        <f aca="false">I14*I$34/100*1000</f>
        <v>9108</v>
      </c>
      <c r="K14" s="1" t="n">
        <v>9.108</v>
      </c>
      <c r="L14" s="1" t="n">
        <v>16.3</v>
      </c>
      <c r="M14" s="1" t="n">
        <v>1.27</v>
      </c>
      <c r="N14" s="1" t="n">
        <v>2991.1</v>
      </c>
      <c r="O14" s="1" t="n">
        <v>15.91</v>
      </c>
      <c r="P14" s="1" t="n">
        <f aca="false">E14+D14+B14+0.8*C14+G14+J14</f>
        <v>37716.5</v>
      </c>
      <c r="Q14" s="1" t="n">
        <f aca="false">P14-$Q$34*O14/100</f>
        <v>28966</v>
      </c>
      <c r="R14" s="1" t="n">
        <f aca="false">ROUND(Q14/N14 *100/1000, 2)</f>
        <v>0.97</v>
      </c>
      <c r="T14" s="1" t="n">
        <f aca="false">O14*50000/100</f>
        <v>7955</v>
      </c>
    </row>
    <row r="15" customFormat="false" ht="15" hidden="false" customHeight="true" outlineLevel="0" collapsed="false">
      <c r="A15" s="11" t="s">
        <v>37</v>
      </c>
      <c r="B15" s="12" t="n">
        <v>973</v>
      </c>
      <c r="C15" s="12" t="n">
        <v>3652</v>
      </c>
      <c r="D15" s="13" t="n">
        <v>1595.2</v>
      </c>
      <c r="E15" s="12" t="n">
        <v>8344</v>
      </c>
      <c r="F15" s="1" t="n">
        <v>20.1</v>
      </c>
      <c r="G15" s="1" t="n">
        <f aca="false">F15*F$34*1000/100</f>
        <v>18693</v>
      </c>
      <c r="H15" s="1" t="n">
        <v>57.7</v>
      </c>
      <c r="I15" s="1" t="n">
        <v>19.3</v>
      </c>
      <c r="J15" s="1" t="n">
        <f aca="false">I15*I$34/100*1000</f>
        <v>8492</v>
      </c>
      <c r="K15" s="1" t="n">
        <v>8.492</v>
      </c>
      <c r="L15" s="1" t="n">
        <v>24.5</v>
      </c>
      <c r="M15" s="1" t="n">
        <v>0.79</v>
      </c>
      <c r="N15" s="1" t="n">
        <v>4529.7</v>
      </c>
      <c r="O15" s="1" t="n">
        <v>24.1</v>
      </c>
      <c r="P15" s="1" t="n">
        <f aca="false">E15+D15+B15+0.8*C15+G15+J15</f>
        <v>41018.8</v>
      </c>
      <c r="Q15" s="1" t="n">
        <f aca="false">P15-$Q$34*O15/100</f>
        <v>27763.8</v>
      </c>
      <c r="R15" s="1" t="n">
        <f aca="false">ROUND(Q15/N15 *100/1000, 2)</f>
        <v>0.61</v>
      </c>
      <c r="T15" s="1" t="n">
        <f aca="false">O15*50000/100</f>
        <v>12050</v>
      </c>
    </row>
    <row r="16" customFormat="false" ht="15" hidden="false" customHeight="true" outlineLevel="0" collapsed="false">
      <c r="A16" s="14" t="s">
        <v>38</v>
      </c>
      <c r="B16" s="15" t="n">
        <v>91</v>
      </c>
      <c r="C16" s="15" t="n">
        <v>74</v>
      </c>
      <c r="D16" s="16" t="n">
        <v>22.7</v>
      </c>
      <c r="E16" s="15" t="n">
        <v>118</v>
      </c>
      <c r="F16" s="1" t="n">
        <v>3.09</v>
      </c>
      <c r="G16" s="1" t="n">
        <f aca="false">F16*F$34*1000/100</f>
        <v>2873.7</v>
      </c>
      <c r="H16" s="1" t="n">
        <v>6.3</v>
      </c>
      <c r="I16" s="1" t="n">
        <v>2.1</v>
      </c>
      <c r="J16" s="1" t="n">
        <f aca="false">I16*I$34/100*1000</f>
        <v>924</v>
      </c>
      <c r="K16" s="1" t="n">
        <v>0.924</v>
      </c>
      <c r="L16" s="1" t="n">
        <v>1.3</v>
      </c>
      <c r="M16" s="1" t="n">
        <v>1.61</v>
      </c>
      <c r="N16" s="1" t="n">
        <v>248.4</v>
      </c>
      <c r="O16" s="1" t="n">
        <v>1.32</v>
      </c>
      <c r="P16" s="1" t="n">
        <f aca="false">E16+D16+B16+0.8*C16+G16+J16</f>
        <v>4088.6</v>
      </c>
      <c r="Q16" s="1" t="n">
        <f aca="false">P16-$Q$34*O16/100</f>
        <v>3362.6</v>
      </c>
      <c r="R16" s="1" t="n">
        <f aca="false">ROUND(Q16/N16 *100/1000, 2)</f>
        <v>1.35</v>
      </c>
      <c r="T16" s="1" t="n">
        <f aca="false">O16*50000/100</f>
        <v>660</v>
      </c>
    </row>
    <row r="17" customFormat="false" ht="15" hidden="false" customHeight="true" outlineLevel="0" collapsed="false">
      <c r="A17" s="11" t="s">
        <v>39</v>
      </c>
      <c r="B17" s="12" t="n">
        <v>139</v>
      </c>
      <c r="C17" s="12" t="n">
        <v>153</v>
      </c>
      <c r="D17" s="13" t="n">
        <v>5.9</v>
      </c>
      <c r="E17" s="12" t="n">
        <v>208</v>
      </c>
      <c r="F17" s="1" t="n">
        <v>0.76</v>
      </c>
      <c r="G17" s="1" t="n">
        <f aca="false">F17*F$34*1000/100</f>
        <v>706.8</v>
      </c>
      <c r="H17" s="1" t="n">
        <v>2.5</v>
      </c>
      <c r="I17" s="1" t="n">
        <v>0.9</v>
      </c>
      <c r="J17" s="1" t="n">
        <f aca="false">I17*I$34/100*1000</f>
        <v>396</v>
      </c>
      <c r="K17" s="1" t="n">
        <v>0.396</v>
      </c>
      <c r="L17" s="1" t="n">
        <v>1.1</v>
      </c>
      <c r="M17" s="1" t="n">
        <v>0.78</v>
      </c>
      <c r="N17" s="1" t="n">
        <v>218.8</v>
      </c>
      <c r="O17" s="1" t="n">
        <v>1.16</v>
      </c>
      <c r="P17" s="1" t="n">
        <f aca="false">E17+D17+B17+0.8*C17+G17+J17</f>
        <v>1578.1</v>
      </c>
      <c r="Q17" s="1" t="n">
        <f aca="false">P17-$Q$34*O17/100</f>
        <v>940.1</v>
      </c>
      <c r="R17" s="1" t="n">
        <f aca="false">ROUND(Q17/N17 *100/1000, 2)</f>
        <v>0.43</v>
      </c>
      <c r="T17" s="1" t="n">
        <f aca="false">O17*50000/100</f>
        <v>580</v>
      </c>
    </row>
    <row r="18" customFormat="false" ht="15" hidden="false" customHeight="true" outlineLevel="0" collapsed="false">
      <c r="A18" s="14" t="s">
        <v>40</v>
      </c>
      <c r="B18" s="15" t="n">
        <v>97</v>
      </c>
      <c r="C18" s="15" t="n">
        <v>216</v>
      </c>
      <c r="D18" s="16" t="n">
        <v>241.4</v>
      </c>
      <c r="E18" s="15" t="n">
        <v>331</v>
      </c>
      <c r="F18" s="1" t="n">
        <v>2.52</v>
      </c>
      <c r="G18" s="1" t="n">
        <f aca="false">F18*F$34*1000/100</f>
        <v>2343.6</v>
      </c>
      <c r="H18" s="1" t="n">
        <v>3.8</v>
      </c>
      <c r="I18" s="1" t="n">
        <v>1.3</v>
      </c>
      <c r="J18" s="1" t="n">
        <f aca="false">I18*I$34/100*1000</f>
        <v>572</v>
      </c>
      <c r="K18" s="1" t="n">
        <v>0.572</v>
      </c>
      <c r="L18" s="1" t="n">
        <v>3</v>
      </c>
      <c r="M18" s="1" t="n">
        <v>0.43</v>
      </c>
      <c r="N18" s="1" t="n">
        <v>602.4</v>
      </c>
      <c r="O18" s="1" t="n">
        <v>3.21</v>
      </c>
      <c r="P18" s="1" t="n">
        <f aca="false">E18+D18+B18+0.8*C18+G18+J18</f>
        <v>3757.8</v>
      </c>
      <c r="Q18" s="1" t="n">
        <f aca="false">P18-$Q$34*O18/100</f>
        <v>1992.3</v>
      </c>
      <c r="R18" s="1" t="n">
        <f aca="false">ROUND(Q18/N18 *100/1000, 2)</f>
        <v>0.33</v>
      </c>
      <c r="T18" s="1" t="n">
        <f aca="false">O18*50000/100</f>
        <v>1605</v>
      </c>
    </row>
    <row r="19" customFormat="false" ht="15" hidden="false" customHeight="true" outlineLevel="0" collapsed="false">
      <c r="A19" s="11" t="s">
        <v>41</v>
      </c>
      <c r="B19" s="12" t="n">
        <v>464</v>
      </c>
      <c r="C19" s="12" t="n">
        <v>1205</v>
      </c>
      <c r="D19" s="13" t="n">
        <v>544.5</v>
      </c>
      <c r="E19" s="12" t="n">
        <v>2618</v>
      </c>
      <c r="F19" s="1" t="n">
        <v>10.01</v>
      </c>
      <c r="G19" s="1" t="n">
        <f aca="false">F19*F$34*1000/100</f>
        <v>9309.3</v>
      </c>
      <c r="H19" s="1" t="n">
        <v>56.5</v>
      </c>
      <c r="I19" s="1" t="n">
        <v>18.9</v>
      </c>
      <c r="J19" s="1" t="n">
        <f aca="false">I19*I$34/100*1000</f>
        <v>8316</v>
      </c>
      <c r="K19" s="1" t="n">
        <v>8.316</v>
      </c>
      <c r="L19" s="1" t="n">
        <v>12.3</v>
      </c>
      <c r="M19" s="1" t="n">
        <v>1.54</v>
      </c>
      <c r="N19" s="1" t="n">
        <v>2258</v>
      </c>
      <c r="O19" s="1" t="n">
        <v>12.01</v>
      </c>
      <c r="P19" s="1" t="n">
        <f aca="false">E19+D19+B19+0.8*C19+G19+J19</f>
        <v>22215.8</v>
      </c>
      <c r="Q19" s="1" t="n">
        <f aca="false">P19-$Q$34*O19/100</f>
        <v>15610.3</v>
      </c>
      <c r="R19" s="1" t="n">
        <f aca="false">ROUND(Q19/N19 *100/1000, 2)</f>
        <v>0.69</v>
      </c>
      <c r="T19" s="1" t="n">
        <f aca="false">O19*50000/100</f>
        <v>6005</v>
      </c>
    </row>
    <row r="20" customFormat="false" ht="15" hidden="false" customHeight="true" outlineLevel="0" collapsed="false">
      <c r="A20" s="14" t="s">
        <v>42</v>
      </c>
      <c r="B20" s="15" t="n">
        <v>27</v>
      </c>
      <c r="C20" s="15" t="n">
        <v>27</v>
      </c>
      <c r="D20" s="15" t="n">
        <v>0</v>
      </c>
      <c r="E20" s="15" t="n">
        <v>20</v>
      </c>
      <c r="F20" s="1" t="n">
        <v>0.27</v>
      </c>
      <c r="G20" s="1" t="n">
        <f aca="false">F20*F$34*1000/100</f>
        <v>251.1</v>
      </c>
      <c r="H20" s="1" t="n">
        <v>0.5</v>
      </c>
      <c r="I20" s="1" t="n">
        <v>0.2</v>
      </c>
      <c r="J20" s="1" t="n">
        <f aca="false">I20*I$34/100*1000</f>
        <v>88</v>
      </c>
      <c r="K20" s="1" t="n">
        <v>0.088</v>
      </c>
      <c r="L20" s="1" t="n">
        <v>0.3</v>
      </c>
      <c r="M20" s="1" t="n">
        <v>0.55</v>
      </c>
      <c r="N20" s="1" t="n">
        <v>43</v>
      </c>
      <c r="O20" s="1" t="n">
        <v>0.23</v>
      </c>
      <c r="P20" s="1" t="n">
        <f aca="false">E20+D20+B20+0.8*C20+G20+J20</f>
        <v>407.7</v>
      </c>
      <c r="Q20" s="1" t="n">
        <f aca="false">P20-$Q$34*O20/100</f>
        <v>281.2</v>
      </c>
      <c r="R20" s="1" t="n">
        <f aca="false">ROUND(Q20/N20 *100/1000, 2)</f>
        <v>0.65</v>
      </c>
      <c r="T20" s="1" t="n">
        <f aca="false">O20*50000/100</f>
        <v>115</v>
      </c>
    </row>
    <row r="21" customFormat="false" ht="15" hidden="false" customHeight="true" outlineLevel="0" collapsed="false">
      <c r="A21" s="11" t="s">
        <v>43</v>
      </c>
      <c r="B21" s="12" t="n">
        <v>41</v>
      </c>
      <c r="C21" s="12" t="n">
        <v>32</v>
      </c>
      <c r="D21" s="13" t="n">
        <v>0.1</v>
      </c>
      <c r="E21" s="12" t="n">
        <v>31</v>
      </c>
      <c r="F21" s="1" t="n">
        <v>0.21</v>
      </c>
      <c r="G21" s="1" t="n">
        <f aca="false">F21*F$34*1000/100</f>
        <v>195.3</v>
      </c>
      <c r="H21" s="1" t="n">
        <v>0.8</v>
      </c>
      <c r="I21" s="1" t="n">
        <v>0.3</v>
      </c>
      <c r="J21" s="1" t="n">
        <f aca="false">I21*I$34/100*1000</f>
        <v>132</v>
      </c>
      <c r="K21" s="1" t="n">
        <v>0.132</v>
      </c>
      <c r="L21" s="1" t="n">
        <v>0.5</v>
      </c>
      <c r="M21" s="1" t="n">
        <v>0.53</v>
      </c>
      <c r="N21" s="1" t="n">
        <v>84.3</v>
      </c>
      <c r="O21" s="1" t="n">
        <v>0.45</v>
      </c>
      <c r="P21" s="1" t="n">
        <f aca="false">E21+D21+B21+0.8*C21+G21+J21</f>
        <v>425</v>
      </c>
      <c r="Q21" s="1" t="n">
        <f aca="false">P21-$Q$34*O21/100</f>
        <v>177.5</v>
      </c>
      <c r="R21" s="1" t="n">
        <f aca="false">ROUND(Q21/N21 *100/1000, 2)</f>
        <v>0.21</v>
      </c>
      <c r="T21" s="1" t="n">
        <f aca="false">O21*50000/100</f>
        <v>225</v>
      </c>
    </row>
    <row r="22" customFormat="false" ht="15" hidden="false" customHeight="true" outlineLevel="0" collapsed="false">
      <c r="A22" s="14" t="s">
        <v>44</v>
      </c>
      <c r="B22" s="15" t="n">
        <v>10</v>
      </c>
      <c r="C22" s="14"/>
      <c r="D22" s="15" t="n">
        <v>0</v>
      </c>
      <c r="E22" s="15" t="n">
        <v>208</v>
      </c>
      <c r="F22" s="1" t="n">
        <v>1.55</v>
      </c>
      <c r="G22" s="1" t="n">
        <f aca="false">F22*F$34*1000/100</f>
        <v>1441.5</v>
      </c>
      <c r="H22" s="1" t="n">
        <v>1.8</v>
      </c>
      <c r="I22" s="1" t="n">
        <v>0.6</v>
      </c>
      <c r="J22" s="1" t="n">
        <f aca="false">I22*I$34/100*1000</f>
        <v>264</v>
      </c>
      <c r="K22" s="1" t="n">
        <v>0.264</v>
      </c>
      <c r="L22" s="1" t="n">
        <v>0.5</v>
      </c>
      <c r="M22" s="1" t="n">
        <v>1.21</v>
      </c>
      <c r="N22" s="1" t="n">
        <v>89.5</v>
      </c>
      <c r="O22" s="1" t="n">
        <v>0.48</v>
      </c>
      <c r="P22" s="1" t="n">
        <f aca="false">E22+D22+B22+0.8*C22+G22+J22</f>
        <v>1923.5</v>
      </c>
      <c r="Q22" s="1" t="n">
        <f aca="false">P22-$Q$34*O22/100</f>
        <v>1659.5</v>
      </c>
      <c r="R22" s="1" t="n">
        <f aca="false">ROUND(Q22/N22 *100/1000, 2)</f>
        <v>1.85</v>
      </c>
      <c r="T22" s="1" t="n">
        <f aca="false">O22*50000/100</f>
        <v>240</v>
      </c>
    </row>
    <row r="23" customFormat="false" ht="15" hidden="false" customHeight="true" outlineLevel="0" collapsed="false">
      <c r="A23" s="11" t="s">
        <v>45</v>
      </c>
      <c r="B23" s="12" t="n">
        <v>7</v>
      </c>
      <c r="C23" s="11"/>
      <c r="D23" s="12" t="n">
        <v>0</v>
      </c>
      <c r="E23" s="12" t="n">
        <v>9</v>
      </c>
      <c r="F23" s="1" t="n">
        <v>0.29</v>
      </c>
      <c r="G23" s="1" t="n">
        <f aca="false">F23*F$34*1000/100</f>
        <v>269.7</v>
      </c>
      <c r="H23" s="1" t="n">
        <v>0.9</v>
      </c>
      <c r="I23" s="1" t="n">
        <v>0.3</v>
      </c>
      <c r="J23" s="1" t="n">
        <f aca="false">I23*I$34/100*1000</f>
        <v>132</v>
      </c>
      <c r="K23" s="1" t="n">
        <v>0.132</v>
      </c>
      <c r="L23" s="1" t="n">
        <v>0.1</v>
      </c>
      <c r="M23" s="1" t="n">
        <v>3.11</v>
      </c>
      <c r="N23" s="1" t="n">
        <v>24.6</v>
      </c>
      <c r="O23" s="1" t="n">
        <v>0.13</v>
      </c>
      <c r="P23" s="1" t="n">
        <f aca="false">E23+D23+B23+0.8*C23+G23+J23</f>
        <v>417.7</v>
      </c>
      <c r="Q23" s="1" t="n">
        <f aca="false">P23-$Q$34*O23/100</f>
        <v>346.2</v>
      </c>
      <c r="R23" s="1" t="n">
        <f aca="false">ROUND(Q23/N23 *100/1000, 2)</f>
        <v>1.41</v>
      </c>
      <c r="T23" s="1" t="n">
        <f aca="false">O23*50000/100</f>
        <v>65</v>
      </c>
    </row>
    <row r="24" customFormat="false" ht="15" hidden="false" customHeight="true" outlineLevel="0" collapsed="false">
      <c r="A24" s="14" t="s">
        <v>46</v>
      </c>
      <c r="B24" s="15" t="n">
        <v>332</v>
      </c>
      <c r="C24" s="15" t="n">
        <v>882</v>
      </c>
      <c r="D24" s="15" t="n">
        <v>1961</v>
      </c>
      <c r="E24" s="15" t="n">
        <v>913</v>
      </c>
      <c r="F24" s="1" t="n">
        <v>8.82</v>
      </c>
      <c r="G24" s="1" t="n">
        <f aca="false">F24*F$34*1000/100</f>
        <v>8202.6</v>
      </c>
      <c r="H24" s="1" t="n">
        <v>11</v>
      </c>
      <c r="I24" s="1" t="n">
        <v>3.7</v>
      </c>
      <c r="J24" s="1" t="n">
        <f aca="false">I24*I$34/100*1000</f>
        <v>1628</v>
      </c>
      <c r="K24" s="1" t="n">
        <v>1.628</v>
      </c>
      <c r="L24" s="1" t="n">
        <v>6</v>
      </c>
      <c r="M24" s="1" t="n">
        <v>0.61</v>
      </c>
      <c r="N24" s="1" t="n">
        <v>1170.6</v>
      </c>
      <c r="O24" s="1" t="n">
        <v>6.23</v>
      </c>
      <c r="P24" s="1" t="n">
        <f aca="false">E24+D24+B24+0.8*C24+G24+J24</f>
        <v>13742.2</v>
      </c>
      <c r="Q24" s="1" t="n">
        <f aca="false">P24-$Q$34*O24/100</f>
        <v>10315.7</v>
      </c>
      <c r="R24" s="1" t="n">
        <f aca="false">ROUND(Q24/N24 *100/1000, 2)</f>
        <v>0.88</v>
      </c>
      <c r="T24" s="1" t="n">
        <f aca="false">O24*50000/100</f>
        <v>3115</v>
      </c>
    </row>
    <row r="25" customFormat="false" ht="15" hidden="false" customHeight="true" outlineLevel="0" collapsed="false">
      <c r="A25" s="11" t="s">
        <v>47</v>
      </c>
      <c r="B25" s="12" t="n">
        <v>494</v>
      </c>
      <c r="C25" s="12" t="n">
        <v>577</v>
      </c>
      <c r="D25" s="12" t="n">
        <v>63</v>
      </c>
      <c r="E25" s="12" t="n">
        <v>560</v>
      </c>
      <c r="F25" s="1" t="n">
        <v>2.15</v>
      </c>
      <c r="G25" s="1" t="n">
        <f aca="false">F25*F$34*1000/100</f>
        <v>1999.5</v>
      </c>
      <c r="H25" s="1" t="n">
        <v>8</v>
      </c>
      <c r="I25" s="1" t="n">
        <v>2.7</v>
      </c>
      <c r="J25" s="1" t="n">
        <f aca="false">I25*I$34/100*1000</f>
        <v>1188</v>
      </c>
      <c r="K25" s="1" t="n">
        <v>1.188</v>
      </c>
      <c r="L25" s="1" t="n">
        <v>4.7</v>
      </c>
      <c r="M25" s="1" t="n">
        <v>0.57</v>
      </c>
      <c r="N25" s="1" t="n">
        <v>922.9</v>
      </c>
      <c r="O25" s="1" t="n">
        <v>4.91</v>
      </c>
      <c r="P25" s="1" t="n">
        <f aca="false">E25+D25+B25+0.8*C25+G25+J25</f>
        <v>4766.1</v>
      </c>
      <c r="Q25" s="1" t="n">
        <f aca="false">P25-$Q$34*O25/100</f>
        <v>2065.6</v>
      </c>
      <c r="R25" s="1" t="n">
        <f aca="false">ROUND(Q25/N25 *100/1000, 2)</f>
        <v>0.22</v>
      </c>
      <c r="T25" s="1" t="n">
        <f aca="false">O25*50000/100</f>
        <v>2455</v>
      </c>
    </row>
    <row r="26" customFormat="false" ht="15" hidden="false" customHeight="true" outlineLevel="0" collapsed="false">
      <c r="A26" s="14" t="s">
        <v>48</v>
      </c>
      <c r="B26" s="15" t="n">
        <v>136</v>
      </c>
      <c r="C26" s="15" t="n">
        <v>114</v>
      </c>
      <c r="D26" s="16" t="n">
        <v>24.9</v>
      </c>
      <c r="E26" s="15" t="n">
        <v>330</v>
      </c>
      <c r="F26" s="1" t="n">
        <v>4.14</v>
      </c>
      <c r="G26" s="1" t="n">
        <f aca="false">F26*F$34*1000/100</f>
        <v>3850.2</v>
      </c>
      <c r="H26" s="1" t="n">
        <v>6.4</v>
      </c>
      <c r="I26" s="1" t="n">
        <v>2.1</v>
      </c>
      <c r="J26" s="1" t="n">
        <f aca="false">I26*I$34/100*1000</f>
        <v>924</v>
      </c>
      <c r="K26" s="1" t="n">
        <v>0.924</v>
      </c>
      <c r="L26" s="1" t="n">
        <v>1.6</v>
      </c>
      <c r="M26" s="1" t="n">
        <v>1.34</v>
      </c>
      <c r="N26" s="1" t="n">
        <v>306.8</v>
      </c>
      <c r="O26" s="1" t="n">
        <v>1.63</v>
      </c>
      <c r="P26" s="1" t="n">
        <f aca="false">E26+D26+B26+0.8*C26+G26+J26</f>
        <v>5356.3</v>
      </c>
      <c r="Q26" s="1" t="n">
        <f aca="false">P26-$Q$34*O26/100</f>
        <v>4459.8</v>
      </c>
      <c r="R26" s="1" t="n">
        <f aca="false">ROUND(Q26/N26 *100/1000, 2)</f>
        <v>1.45</v>
      </c>
      <c r="T26" s="1" t="n">
        <f aca="false">O26*50000/100</f>
        <v>815</v>
      </c>
    </row>
    <row r="27" customFormat="false" ht="15" hidden="false" customHeight="true" outlineLevel="0" collapsed="false">
      <c r="A27" s="11" t="s">
        <v>49</v>
      </c>
      <c r="B27" s="12" t="n">
        <v>133</v>
      </c>
      <c r="C27" s="12" t="n">
        <v>40</v>
      </c>
      <c r="D27" s="13" t="n">
        <v>1.9</v>
      </c>
      <c r="E27" s="12" t="n">
        <v>121</v>
      </c>
      <c r="F27" s="1" t="n">
        <v>0.87</v>
      </c>
      <c r="G27" s="1" t="n">
        <f aca="false">F27*F$34*1000/100</f>
        <v>809.1</v>
      </c>
      <c r="H27" s="1" t="n">
        <v>3.2</v>
      </c>
      <c r="I27" s="1" t="n">
        <v>1.1</v>
      </c>
      <c r="J27" s="1" t="n">
        <f aca="false">I27*I$34/100*1000</f>
        <v>484</v>
      </c>
      <c r="K27" s="1" t="n">
        <v>0.484</v>
      </c>
      <c r="L27" s="1" t="n">
        <v>2.2</v>
      </c>
      <c r="M27" s="1" t="n">
        <v>0.49</v>
      </c>
      <c r="N27" s="1" t="n">
        <v>380.1</v>
      </c>
      <c r="O27" s="1" t="n">
        <v>2.02</v>
      </c>
      <c r="P27" s="1" t="n">
        <f aca="false">E27+D27+B27+0.8*C27+G27+J27</f>
        <v>1581</v>
      </c>
      <c r="Q27" s="1" t="n">
        <f aca="false">P27-$Q$34*O27/100</f>
        <v>470</v>
      </c>
      <c r="R27" s="1" t="n">
        <f aca="false">ROUND(Q27/N27 *100/1000, 2)</f>
        <v>0.12</v>
      </c>
      <c r="T27" s="1" t="n">
        <f aca="false">O27*50000/100</f>
        <v>1010</v>
      </c>
    </row>
    <row r="28" customFormat="false" ht="15" hidden="false" customHeight="true" outlineLevel="0" collapsed="false">
      <c r="A28" s="14" t="s">
        <v>50</v>
      </c>
      <c r="B28" s="15" t="n">
        <v>76</v>
      </c>
      <c r="C28" s="15" t="n">
        <v>51</v>
      </c>
      <c r="D28" s="15" t="n">
        <v>0</v>
      </c>
      <c r="E28" s="15" t="n">
        <v>19</v>
      </c>
      <c r="F28" s="1" t="n">
        <v>0.09</v>
      </c>
      <c r="G28" s="1" t="n">
        <f aca="false">F28*F$34*1000/100</f>
        <v>83.7</v>
      </c>
      <c r="H28" s="1" t="n">
        <v>1.3</v>
      </c>
      <c r="I28" s="1" t="n">
        <v>0.4</v>
      </c>
      <c r="J28" s="1" t="n">
        <f aca="false">I28*I$34/100*1000</f>
        <v>176</v>
      </c>
      <c r="K28" s="1" t="n">
        <v>0.176</v>
      </c>
      <c r="L28" s="1" t="n">
        <v>0.7</v>
      </c>
      <c r="M28" s="1" t="n">
        <v>0.63</v>
      </c>
      <c r="N28" s="1" t="n">
        <v>136.8</v>
      </c>
      <c r="O28" s="1" t="n">
        <v>0.73</v>
      </c>
      <c r="P28" s="1" t="n">
        <f aca="false">E28+D28+B28+0.8*C28+G28+J28</f>
        <v>395.5</v>
      </c>
      <c r="Q28" s="1" t="n">
        <f aca="false">P28-$Q$34*O28/100</f>
        <v>-6</v>
      </c>
      <c r="R28" s="1" t="n">
        <f aca="false">ROUND(Q28/N28 *100/1000, 2)</f>
        <v>-0</v>
      </c>
      <c r="T28" s="1" t="n">
        <f aca="false">O28*50000/100</f>
        <v>365</v>
      </c>
    </row>
    <row r="29" customFormat="false" ht="15" hidden="false" customHeight="true" outlineLevel="0" collapsed="false">
      <c r="A29" s="11" t="s">
        <v>51</v>
      </c>
      <c r="B29" s="12" t="n">
        <v>33</v>
      </c>
      <c r="C29" s="12" t="n">
        <v>18</v>
      </c>
      <c r="D29" s="13" t="n">
        <v>0.4</v>
      </c>
      <c r="E29" s="12" t="n">
        <v>75</v>
      </c>
      <c r="F29" s="1" t="n">
        <v>0.05</v>
      </c>
      <c r="G29" s="1" t="n">
        <f aca="false">F29*F$34*1000/100</f>
        <v>46.5</v>
      </c>
      <c r="H29" s="1" t="n">
        <v>1.1</v>
      </c>
      <c r="I29" s="1" t="n">
        <v>0.4</v>
      </c>
      <c r="J29" s="1" t="n">
        <f aca="false">I29*I$34/100*1000</f>
        <v>176</v>
      </c>
      <c r="K29" s="1" t="n">
        <v>0.176</v>
      </c>
      <c r="L29" s="1" t="n">
        <v>0.4</v>
      </c>
      <c r="M29" s="1" t="n">
        <v>0.93</v>
      </c>
      <c r="N29" s="1" t="n">
        <v>70.5</v>
      </c>
      <c r="O29" s="1" t="n">
        <v>0.38</v>
      </c>
      <c r="P29" s="1" t="n">
        <f aca="false">E29+D29+B29+0.8*C29+G29+J29</f>
        <v>345.3</v>
      </c>
      <c r="Q29" s="1" t="n">
        <f aca="false">P29-$Q$34*O29/100</f>
        <v>136.3</v>
      </c>
      <c r="R29" s="1" t="n">
        <f aca="false">ROUND(Q29/N29 *100/1000, 2)</f>
        <v>0.19</v>
      </c>
      <c r="T29" s="1" t="n">
        <f aca="false">O29*50000/100</f>
        <v>190</v>
      </c>
    </row>
    <row r="30" customFormat="false" ht="15" hidden="false" customHeight="true" outlineLevel="0" collapsed="false">
      <c r="A30" s="14" t="s">
        <v>52</v>
      </c>
      <c r="B30" s="15" t="n">
        <v>683</v>
      </c>
      <c r="C30" s="15" t="n">
        <v>1122</v>
      </c>
      <c r="D30" s="16" t="n">
        <v>240.6</v>
      </c>
      <c r="E30" s="15" t="n">
        <v>2151</v>
      </c>
      <c r="F30" s="1" t="n">
        <v>15.18</v>
      </c>
      <c r="G30" s="1" t="n">
        <f aca="false">F30*F$34*1000/100</f>
        <v>14117.4</v>
      </c>
      <c r="H30" s="1" t="n">
        <v>30.9</v>
      </c>
      <c r="I30" s="1" t="n">
        <v>10.3</v>
      </c>
      <c r="J30" s="1" t="n">
        <f aca="false">I30*I$34/100*1000</f>
        <v>4532</v>
      </c>
      <c r="K30" s="1" t="n">
        <v>4.532</v>
      </c>
      <c r="L30" s="1" t="n">
        <v>8.7</v>
      </c>
      <c r="M30" s="1" t="n">
        <v>1.19</v>
      </c>
      <c r="N30" s="1" t="n">
        <v>1687.2</v>
      </c>
      <c r="O30" s="1" t="n">
        <v>8.98</v>
      </c>
      <c r="P30" s="1" t="n">
        <f aca="false">E30+D30+B30+0.8*C30+G30+J30</f>
        <v>22621.6</v>
      </c>
      <c r="Q30" s="1" t="n">
        <f aca="false">P30-$Q$34*O30/100</f>
        <v>17682.6</v>
      </c>
      <c r="R30" s="1" t="n">
        <f aca="false">ROUND(Q30/N30 *100/1000, 2)</f>
        <v>1.05</v>
      </c>
      <c r="T30" s="1" t="n">
        <f aca="false">O30*50000/100</f>
        <v>4490</v>
      </c>
    </row>
    <row r="31" customFormat="false" ht="15" hidden="false" customHeight="true" outlineLevel="0" collapsed="false">
      <c r="A31" s="11" t="s">
        <v>53</v>
      </c>
      <c r="B31" s="12" t="n">
        <v>189</v>
      </c>
      <c r="C31" s="12" t="n">
        <v>813</v>
      </c>
      <c r="D31" s="13" t="n">
        <v>245.1</v>
      </c>
      <c r="E31" s="12" t="n">
        <v>712</v>
      </c>
      <c r="F31" s="1" t="n">
        <v>1.54</v>
      </c>
      <c r="G31" s="1" t="n">
        <f aca="false">F31*F$34*1000/100</f>
        <v>1432.2</v>
      </c>
      <c r="H31" s="1" t="n">
        <v>7.1</v>
      </c>
      <c r="I31" s="1" t="n">
        <v>2.4</v>
      </c>
      <c r="J31" s="1" t="n">
        <f aca="false">I31*I$34/100*1000</f>
        <v>1056</v>
      </c>
      <c r="K31" s="1" t="n">
        <v>1.056</v>
      </c>
      <c r="L31" s="1" t="n">
        <v>3</v>
      </c>
      <c r="M31" s="1" t="n">
        <v>0.79</v>
      </c>
      <c r="N31" s="1" t="n">
        <v>601.2</v>
      </c>
      <c r="O31" s="1" t="n">
        <v>3.2</v>
      </c>
      <c r="P31" s="1" t="n">
        <f aca="false">E31+D31+B31+0.8*C31+G31+J31</f>
        <v>4284.7</v>
      </c>
      <c r="Q31" s="1" t="n">
        <f aca="false">P31-$Q$34*O31/100</f>
        <v>2524.7</v>
      </c>
      <c r="R31" s="1" t="n">
        <f aca="false">ROUND(Q31/N31 *100/1000, 2)</f>
        <v>0.42</v>
      </c>
      <c r="T31" s="1" t="n">
        <f aca="false">O31*50000/100</f>
        <v>1600</v>
      </c>
    </row>
    <row r="32" s="20" customFormat="true" ht="15" hidden="false" customHeight="true" outlineLevel="0" collapsed="false">
      <c r="A32" s="17" t="s">
        <v>54</v>
      </c>
      <c r="B32" s="18" t="n">
        <v>5847</v>
      </c>
      <c r="C32" s="18" t="n">
        <v>12930</v>
      </c>
      <c r="D32" s="19" t="n">
        <v>8334.6</v>
      </c>
      <c r="E32" s="18" t="n">
        <v>26264</v>
      </c>
      <c r="F32" s="20" t="n">
        <v>100</v>
      </c>
      <c r="G32" s="20" t="n">
        <f aca="false">F32*F$34*1000/100</f>
        <v>93000</v>
      </c>
      <c r="H32" s="20" t="n">
        <v>299</v>
      </c>
      <c r="I32" s="20" t="n">
        <v>100</v>
      </c>
      <c r="J32" s="20" t="n">
        <f aca="false">I32*I$34/100*1000</f>
        <v>44000</v>
      </c>
      <c r="K32" s="20" t="n">
        <v>44</v>
      </c>
      <c r="L32" s="20" t="n">
        <v>100</v>
      </c>
      <c r="N32" s="20" t="n">
        <v>18796</v>
      </c>
      <c r="O32" s="20" t="n">
        <v>100</v>
      </c>
      <c r="P32" s="20" t="n">
        <f aca="false">E32+D32+B32+0.8*C32+G32+J32</f>
        <v>187789.6</v>
      </c>
      <c r="Q32" s="20" t="n">
        <f aca="false">P32-$Q$34*O32/100</f>
        <v>132789.6</v>
      </c>
      <c r="R32" s="20" t="n">
        <f aca="false">ROUND(Q32/N32 *100/1000, 2)</f>
        <v>0.71</v>
      </c>
      <c r="T32" s="20" t="n">
        <f aca="false">O32*50000/100</f>
        <v>50000</v>
      </c>
    </row>
    <row r="33" customFormat="false" ht="15" hidden="false" customHeight="false" outlineLevel="0" collapsed="false">
      <c r="B33" s="1" t="n">
        <f aca="false">SUM(B5:B31)</f>
        <v>5847</v>
      </c>
      <c r="C33" s="1" t="n">
        <f aca="false">SUM(C5:C31)</f>
        <v>12932</v>
      </c>
      <c r="D33" s="1" t="n">
        <f aca="false">SUM(D5:D31)</f>
        <v>8334.5</v>
      </c>
      <c r="E33" s="1" t="n">
        <f aca="false">SUM(E5:E31)</f>
        <v>26264</v>
      </c>
      <c r="G33" s="1" t="n">
        <f aca="false">SUM(G5:G31)</f>
        <v>93018.6</v>
      </c>
      <c r="J33" s="1" t="n">
        <f aca="false">SUM(J5:J31)</f>
        <v>44088</v>
      </c>
      <c r="P33" s="1" t="n">
        <f aca="false">SUM(P5:P31)</f>
        <v>187897.7</v>
      </c>
      <c r="Q33" s="1" t="n">
        <f aca="false">SUM(Q5:Q31)</f>
        <v>132716.2</v>
      </c>
    </row>
    <row r="34" customFormat="false" ht="15" hidden="false" customHeight="true" outlineLevel="0" collapsed="false">
      <c r="F34" s="21" t="n">
        <v>93</v>
      </c>
      <c r="I34" s="21" t="n">
        <v>44</v>
      </c>
      <c r="Q34" s="1" t="n">
        <v>55000</v>
      </c>
    </row>
    <row r="37" customFormat="false" ht="16.4" hidden="false" customHeight="false" outlineLevel="0" collapsed="false">
      <c r="N37" s="22" t="s">
        <v>55</v>
      </c>
      <c r="O37" s="23" t="n">
        <v>192.8</v>
      </c>
      <c r="P37" s="24"/>
      <c r="Q37" s="24"/>
    </row>
    <row r="38" customFormat="false" ht="15" hidden="false" customHeight="false" outlineLevel="0" collapsed="false">
      <c r="N38" s="22" t="s">
        <v>56</v>
      </c>
      <c r="O38" s="22" t="n">
        <f aca="false">O37*0.7</f>
        <v>134.96</v>
      </c>
      <c r="P38" s="24"/>
      <c r="Q38" s="24"/>
    </row>
    <row r="39" customFormat="false" ht="15" hidden="false" customHeight="false" outlineLevel="0" collapsed="false">
      <c r="N39" s="22"/>
      <c r="O39" s="22"/>
      <c r="P39" s="24"/>
      <c r="Q39" s="24"/>
    </row>
    <row r="40" customFormat="false" ht="15" hidden="false" customHeight="false" outlineLevel="0" collapsed="false">
      <c r="N40" s="22" t="s">
        <v>57</v>
      </c>
      <c r="O40" s="22" t="n">
        <v>55</v>
      </c>
      <c r="P40" s="24"/>
      <c r="Q40" s="24"/>
    </row>
    <row r="41" customFormat="false" ht="15" hidden="false" customHeight="false" outlineLevel="0" collapsed="false">
      <c r="N41" s="22" t="s">
        <v>58</v>
      </c>
      <c r="O41" s="22" t="n">
        <v>19</v>
      </c>
      <c r="P41" s="24"/>
      <c r="Q41" s="24"/>
    </row>
    <row r="42" customFormat="false" ht="15" hidden="false" customHeight="false" outlineLevel="0" collapsed="false">
      <c r="B42" s="25"/>
      <c r="C42" s="25"/>
      <c r="D42" s="25"/>
      <c r="E42" s="25"/>
      <c r="N42" s="22" t="s">
        <v>59</v>
      </c>
      <c r="O42" s="22" t="n">
        <f aca="false">O37+O41</f>
        <v>211.8</v>
      </c>
      <c r="P42" s="24"/>
      <c r="Q42" s="24"/>
    </row>
    <row r="43" customFormat="false" ht="15" hidden="false" customHeight="false" outlineLevel="0" collapsed="false">
      <c r="B43" s="25"/>
      <c r="C43" s="25" t="s">
        <v>60</v>
      </c>
      <c r="D43" s="25"/>
      <c r="E43" s="25"/>
      <c r="N43" s="22" t="s">
        <v>56</v>
      </c>
      <c r="O43" s="22" t="n">
        <f aca="false">O38-O40</f>
        <v>79.96</v>
      </c>
      <c r="P43" s="24"/>
      <c r="Q43" s="24"/>
    </row>
    <row r="44" customFormat="false" ht="15" hidden="false" customHeight="false" outlineLevel="0" collapsed="false">
      <c r="B44" s="25"/>
      <c r="C44" s="25"/>
      <c r="D44" s="25"/>
      <c r="E44" s="25"/>
      <c r="N44" s="22" t="s">
        <v>61</v>
      </c>
      <c r="O44" s="22" t="n">
        <f aca="false">O43/O42</f>
        <v>0.37752596789424</v>
      </c>
      <c r="P44" s="24"/>
      <c r="Q44" s="24"/>
    </row>
    <row r="47" customFormat="false" ht="18" hidden="false" customHeight="true" outlineLevel="0" collapsed="false">
      <c r="A47" s="26"/>
      <c r="B47" s="27"/>
      <c r="D47" s="27"/>
      <c r="E47" s="27"/>
      <c r="J47" s="1"/>
      <c r="Q47" s="1" t="s">
        <v>62</v>
      </c>
      <c r="T47" s="1" t="s">
        <v>63</v>
      </c>
    </row>
    <row r="49" customFormat="false" ht="18" hidden="false" customHeight="true" outlineLevel="0" collapsed="false">
      <c r="A49" s="26"/>
      <c r="B49" s="27" t="s">
        <v>22</v>
      </c>
      <c r="C49" s="1" t="s">
        <v>23</v>
      </c>
      <c r="D49" s="27" t="s">
        <v>24</v>
      </c>
      <c r="E49" s="27" t="s">
        <v>25</v>
      </c>
      <c r="G49" s="1" t="s">
        <v>1</v>
      </c>
      <c r="J49" s="1" t="s">
        <v>26</v>
      </c>
    </row>
  </sheetData>
  <mergeCells count="1">
    <mergeCell ref="A1:A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2026-08-26T14:42:26Z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