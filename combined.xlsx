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_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<sst xmlns="http://schemas.openxmlformats.org/spreadsheetml/2006/main" count="176" uniqueCount="124">
  <si>
    <t xml:space="preserve">Country</t>
  </si>
  <si>
    <t xml:space="preserve">DST</t>
  </si>
  <si>
    <t xml:space="preserve">Ad Tax</t>
  </si>
  <si>
    <t xml:space="preserve">FTT</t>
  </si>
  <si>
    <t xml:space="preserve">Wealth Tax</t>
  </si>
  <si>
    <t xml:space="preserve">Aviation carbon tax</t>
  </si>
  <si>
    <t xml:space="preserve">Luxury tax</t>
  </si>
  <si>
    <t xml:space="preserve">GNI</t>
  </si>
  <si>
    <t xml:space="preserve">a</t>
  </si>
  <si>
    <t xml:space="preserve">GDP 2025 (Eurostat)</t>
  </si>
  <si>
    <t xml:space="preserve">revenues</t>
  </si>
  <si>
    <t xml:space="preserve">Rev. share</t>
  </si>
  <si>
    <t xml:space="preserve">Base</t>
  </si>
  <si>
    <t xml:space="preserve">Rev.</t>
  </si>
  <si>
    <t xml:space="preserve">GDP</t>
  </si>
  <si>
    <t xml:space="preserve">Ratio</t>
  </si>
  <si>
    <t xml:space="preserve">Share s</t>
  </si>
  <si>
    <t xml:space="preserve">already NOR</t>
  </si>
  <si>
    <t xml:space="preserve">Our scenario</t>
  </si>
  <si>
    <t xml:space="preserve">Scenario 0</t>
  </si>
  <si>
    <t xml:space="preserve">+ externalité</t>
  </si>
  <si>
    <t xml:space="preserve">Millions EUR</t>
  </si>
  <si>
    <t xml:space="preserve">/GNI</t>
  </si>
  <si>
    <t xml:space="preserve">(%)</t>
  </si>
  <si>
    <t xml:space="preserve">(EUR bn)</t>
  </si>
  <si>
    <t xml:space="preserve">NOR total (Ad 80%)</t>
  </si>
  <si>
    <t xml:space="preserve">rapporté au PIB ( %)</t>
  </si>
  <si>
    <t xml:space="preserve">50 bn répartis par s</t>
  </si>
  <si>
    <t xml:space="preserve">table</t>
  </si>
  <si>
    <t xml:space="preserve">A 3\% DST</t>
  </si>
  <si>
    <t xml:space="preserve">15\% Ad tax </t>
  </si>
  <si>
    <t xml:space="preserve">0.5\% FTT</t>
  </si>
  <si>
    <t xml:space="preserve">Wealth tax</t>
  </si>
  <si>
    <t xml:space="preserve">Luxury VAT</t>
  </si>
  <si>
    <t xml:space="preserve">table_s</t>
  </si>
  <si>
    <t xml:space="preserve">table_scenario</t>
  </si>
  <si>
    <t xml:space="preserve">6 NOR scenario</t>
  </si>
  <si>
    <t xml:space="preserve">Status-quo scenario</t>
  </si>
  <si>
    <t xml:space="preserve">table_sscenario</t>
  </si>
  <si>
    <t xml:space="preserve">Austria</t>
  </si>
  <si>
    <t xml:space="preserve">Austria        </t>
  </si>
  <si>
    <t xml:space="preserve">Austria     </t>
  </si>
  <si>
    <t xml:space="preserve">Belgium</t>
  </si>
  <si>
    <t xml:space="preserve">Belgium        </t>
  </si>
  <si>
    <t xml:space="preserve">Belgium     </t>
  </si>
  <si>
    <t xml:space="preserve">Bulgaria</t>
  </si>
  <si>
    <t xml:space="preserve">Bulgaria       </t>
  </si>
  <si>
    <t xml:space="preserve">Croatia</t>
  </si>
  <si>
    <t xml:space="preserve">Croatia        </t>
  </si>
  <si>
    <t xml:space="preserve">Cyprus</t>
  </si>
  <si>
    <t xml:space="preserve">Cyprus         </t>
  </si>
  <si>
    <t xml:space="preserve">Czechia</t>
  </si>
  <si>
    <t xml:space="preserve">Czechia        </t>
  </si>
  <si>
    <t xml:space="preserve">Czechia     </t>
  </si>
  <si>
    <t xml:space="preserve">Denmark</t>
  </si>
  <si>
    <t xml:space="preserve">Denmark        </t>
  </si>
  <si>
    <t xml:space="preserve">Denmark     </t>
  </si>
  <si>
    <t xml:space="preserve">Estonia</t>
  </si>
  <si>
    <t xml:space="preserve">Estonia        </t>
  </si>
  <si>
    <t xml:space="preserve">Finland</t>
  </si>
  <si>
    <t xml:space="preserve">Finland        </t>
  </si>
  <si>
    <t xml:space="preserve">France</t>
  </si>
  <si>
    <t xml:space="preserve">France         </t>
  </si>
  <si>
    <t xml:space="preserve">France      </t>
  </si>
  <si>
    <t xml:space="preserve">Germany</t>
  </si>
  <si>
    <t xml:space="preserve">Germany        </t>
  </si>
  <si>
    <t xml:space="preserve">Germany     </t>
  </si>
  <si>
    <t xml:space="preserve">Greece</t>
  </si>
  <si>
    <t xml:space="preserve">Greece         </t>
  </si>
  <si>
    <t xml:space="preserve">Greece      </t>
  </si>
  <si>
    <t xml:space="preserve">Hungary</t>
  </si>
  <si>
    <t xml:space="preserve">Hungary        </t>
  </si>
  <si>
    <t xml:space="preserve">Ireland</t>
  </si>
  <si>
    <t xml:space="preserve">Ireland        </t>
  </si>
  <si>
    <t xml:space="preserve">Ireland     </t>
  </si>
  <si>
    <t xml:space="preserve"> </t>
  </si>
  <si>
    <t xml:space="preserve">Italy</t>
  </si>
  <si>
    <t xml:space="preserve">Italy          </t>
  </si>
  <si>
    <t xml:space="preserve">Italy       </t>
  </si>
  <si>
    <t xml:space="preserve">Latvia</t>
  </si>
  <si>
    <t xml:space="preserve">Latvia         </t>
  </si>
  <si>
    <t xml:space="preserve">Lithuania</t>
  </si>
  <si>
    <t xml:space="preserve">Lithuania      </t>
  </si>
  <si>
    <t xml:space="preserve">Luxembourg</t>
  </si>
  <si>
    <t xml:space="preserve">Luxembourg     </t>
  </si>
  <si>
    <t xml:space="preserve">Malta</t>
  </si>
  <si>
    <t xml:space="preserve">Malta          </t>
  </si>
  <si>
    <t xml:space="preserve">Netherlands</t>
  </si>
  <si>
    <t xml:space="preserve">Netherlands    </t>
  </si>
  <si>
    <t xml:space="preserve">Netherlands </t>
  </si>
  <si>
    <t xml:space="preserve">Poland</t>
  </si>
  <si>
    <t xml:space="preserve">Poland         </t>
  </si>
  <si>
    <t xml:space="preserve">Poland      </t>
  </si>
  <si>
    <t xml:space="preserve">Portugal</t>
  </si>
  <si>
    <t xml:space="preserve">Portugal       </t>
  </si>
  <si>
    <t xml:space="preserve">Portugal    </t>
  </si>
  <si>
    <t xml:space="preserve">Romania</t>
  </si>
  <si>
    <t xml:space="preserve">Romania        </t>
  </si>
  <si>
    <t xml:space="preserve">Slovakia</t>
  </si>
  <si>
    <t xml:space="preserve">Slovakia       </t>
  </si>
  <si>
    <t xml:space="preserve">Slovenia</t>
  </si>
  <si>
    <t xml:space="preserve">Slovenia       </t>
  </si>
  <si>
    <t xml:space="preserve">Spain</t>
  </si>
  <si>
    <t xml:space="preserve">Spain          </t>
  </si>
  <si>
    <t xml:space="preserve">Spain       </t>
  </si>
  <si>
    <t xml:space="preserve">Sweden</t>
  </si>
  <si>
    <t xml:space="preserve">Sweden         </t>
  </si>
  <si>
    <t xml:space="preserve">Sweden      </t>
  </si>
  <si>
    <t xml:space="preserve">European Union</t>
  </si>
  <si>
    <t xml:space="preserve">TOTAL</t>
  </si>
  <si>
    <t xml:space="preserve">Taux effectif (inclus elasticité)</t>
  </si>
  <si>
    <t xml:space="preserve">Taux effectif</t>
  </si>
  <si>
    <t xml:space="preserve">Budget 2026 </t>
  </si>
  <si>
    <t xml:space="preserve">share GNI</t>
  </si>
  <si>
    <t xml:space="preserve">Reward fund</t>
  </si>
  <si>
    <t xml:space="preserve">ajustable</t>
  </si>
  <si>
    <t xml:space="preserve">NOR</t>
  </si>
  <si>
    <t xml:space="preserve">GNI contrib reduction</t>
  </si>
  <si>
    <t xml:space="preserve">Ajout budg</t>
  </si>
  <si>
    <t xml:space="preserve">Remboursement </t>
  </si>
  <si>
    <t xml:space="preserve">New budg</t>
  </si>
  <si>
    <t xml:space="preserve">new GNIcontrib ratio</t>
  </si>
  <si>
    <t xml:space="preserve">NOR and reduced GNI-contributions scenario</t>
  </si>
  <si>
    <t xml:space="preserve">Status-quo scenario 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</si>
</sst>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#,##0.0"/>
    <numFmt numFmtId="167" formatCode="0.00E+00"/>
    <numFmt numFmtId="168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mbria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sz val="15"/>
      <color rgb="FFFAFAFA"/>
      <name val="Calibri"/>
      <family val="2"/>
      <charset val="1"/>
    </font>
    <font>
      <sz val="18"/>
      <color rgb="FFFAFAFA"/>
      <name val="Calibri"/>
      <family val="2"/>
      <charset val="1"/>
    </font>
    <font>
      <sz val="10"/>
      <color rgb="FF00000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8A65"/>
        <bgColor rgb="FFDF979A"/>
      </patternFill>
    </fill>
    <fill>
      <patternFill patternType="solid">
        <fgColor rgb="FF650953"/>
        <bgColor rgb="FF800080"/>
      </patternFill>
    </fill>
    <fill>
      <patternFill patternType="solid">
        <fgColor rgb="FFCF4069"/>
        <bgColor rgb="FF993366"/>
      </patternFill>
    </fill>
    <fill>
      <patternFill patternType="solid">
        <fgColor rgb="FFDF979A"/>
        <bgColor rgb="FFFFAB91"/>
      </patternFill>
    </fill>
    <fill>
      <patternFill patternType="solid">
        <fgColor rgb="FF5983B0"/>
        <bgColor rgb="FF808080"/>
      </patternFill>
    </fill>
    <fill>
      <patternFill patternType="solid">
        <fgColor rgb="FF5EBABC"/>
        <bgColor rgb="FF729FCF"/>
      </patternFill>
    </fill>
    <fill>
      <patternFill patternType="solid">
        <fgColor rgb="FFFFBF00"/>
        <bgColor rgb="FFFFD320"/>
      </patternFill>
    </fill>
    <fill>
      <patternFill patternType="solid">
        <fgColor rgb="FFF2F7FF"/>
        <bgColor rgb="FFFAFAFA"/>
      </patternFill>
    </fill>
    <fill>
      <patternFill patternType="solid">
        <fgColor rgb="FFB4C7DC"/>
        <bgColor rgb="FFD1C4E9"/>
      </patternFill>
    </fill>
    <fill>
      <patternFill patternType="solid">
        <fgColor rgb="FFD9E1F2"/>
        <bgColor rgb="FFF2F7FF"/>
      </patternFill>
    </fill>
    <fill>
      <patternFill patternType="solid">
        <fgColor rgb="FF00A933"/>
        <bgColor rgb="FF008000"/>
      </patternFill>
    </fill>
    <fill>
      <patternFill patternType="solid">
        <fgColor rgb="FFFFAB91"/>
        <bgColor rgb="FFDF979A"/>
      </patternFill>
    </fill>
    <fill>
      <patternFill patternType="solid">
        <fgColor rgb="FF1A237E"/>
        <bgColor rgb="FF004586"/>
      </patternFill>
    </fill>
    <fill>
      <patternFill patternType="solid">
        <fgColor rgb="FFD1C4E9"/>
        <bgColor rgb="FFB4C7DC"/>
      </patternFill>
    </fill>
    <fill>
      <patternFill patternType="solid">
        <fgColor rgb="FFFFCDD2"/>
        <bgColor rgb="FFD1C4E9"/>
      </patternFill>
    </fill>
    <fill>
      <patternFill patternType="solid">
        <fgColor rgb="FFFF9800"/>
        <bgColor rgb="FFFFB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6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4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8" fillId="11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4" fillId="1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1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AFAFA"/>
      <rgbColor rgb="FFFF0000"/>
      <rgbColor rgb="FF00FF00"/>
      <rgbColor rgb="FF0000FF"/>
      <rgbColor rgb="FFFFD32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729FCF"/>
      <rgbColor rgb="FFCF4069"/>
      <rgbColor rgb="FFF2F7FF"/>
      <rgbColor rgb="FFD9E1F2"/>
      <rgbColor rgb="FF650953"/>
      <rgbColor rgb="FFFF8A65"/>
      <rgbColor rgb="FF0066CC"/>
      <rgbColor rgb="FFD1C4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B91"/>
      <rgbColor rgb="FFDF979A"/>
      <rgbColor rgb="FFFFCDD2"/>
      <rgbColor rgb="FF3366FF"/>
      <rgbColor rgb="FF5EBABC"/>
      <rgbColor rgb="FF99CC00"/>
      <rgbColor rgb="FFFFBF00"/>
      <rgbColor rgb="FFFF9800"/>
      <rgbColor rgb="FFFF420E"/>
      <rgbColor rgb="FF5983B0"/>
      <rgbColor rgb="FFB3B3B3"/>
      <rgbColor rgb="FF004586"/>
      <rgbColor rgb="FF00A933"/>
      <rgbColor rgb="FF003300"/>
      <rgbColor rgb="FF333300"/>
      <rgbColor rgb="FFB85C00"/>
      <rgbColor rgb="FF993366"/>
      <rgbColor rgb="FF1A237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729fc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General</c:formatCode>
                <c:ptCount val="27"/>
                <c:pt idx="0">
                  <c:v>323</c:v>
                </c:pt>
                <c:pt idx="1">
                  <c:v>187</c:v>
                </c:pt>
                <c:pt idx="2">
                  <c:v>45.9</c:v>
                </c:pt>
                <c:pt idx="3">
                  <c:v>64.6</c:v>
                </c:pt>
                <c:pt idx="4">
                  <c:v>49.3</c:v>
                </c:pt>
                <c:pt idx="5">
                  <c:v>74.8</c:v>
                </c:pt>
                <c:pt idx="6">
                  <c:v>192.1</c:v>
                </c:pt>
                <c:pt idx="7">
                  <c:v>153</c:v>
                </c:pt>
                <c:pt idx="8">
                  <c:v>122.4</c:v>
                </c:pt>
                <c:pt idx="9">
                  <c:v>914.6</c:v>
                </c:pt>
                <c:pt idx="10">
                  <c:v>1088</c:v>
                </c:pt>
                <c:pt idx="11">
                  <c:v>431.8</c:v>
                </c:pt>
                <c:pt idx="12">
                  <c:v>62.9</c:v>
                </c:pt>
                <c:pt idx="13">
                  <c:v>159.8</c:v>
                </c:pt>
                <c:pt idx="14">
                  <c:v>1208.7</c:v>
                </c:pt>
                <c:pt idx="15">
                  <c:v>30.6</c:v>
                </c:pt>
                <c:pt idx="16">
                  <c:v>23.8</c:v>
                </c:pt>
                <c:pt idx="17">
                  <c:v>35.7</c:v>
                </c:pt>
                <c:pt idx="18">
                  <c:v>45.9</c:v>
                </c:pt>
                <c:pt idx="19">
                  <c:v>336.6</c:v>
                </c:pt>
                <c:pt idx="20">
                  <c:v>202.3</c:v>
                </c:pt>
                <c:pt idx="21">
                  <c:v>331.5</c:v>
                </c:pt>
                <c:pt idx="22">
                  <c:v>105.4</c:v>
                </c:pt>
                <c:pt idx="23">
                  <c:v>68</c:v>
                </c:pt>
                <c:pt idx="24">
                  <c:v>51</c:v>
                </c:pt>
                <c:pt idx="25">
                  <c:v>1586.1</c:v>
                </c:pt>
                <c:pt idx="26">
                  <c:v>197.2</c:v>
                </c:pt>
              </c:numCache>
            </c:numRef>
          </c:val>
        </c:ser>
        <c:ser>
          <c:idx val="5"/>
          <c:order val="5"/>
          <c:tx>
            <c:strRef>
              <c:f>Combined_2!$R$1:$R$1</c:f>
              <c:strCache>
                <c:ptCount val="1"/>
                <c:pt idx="0">
                  <c:v>Luxury tax</c:v>
                </c:pt>
              </c:strCache>
            </c:strRef>
          </c:tx>
          <c:spPr>
            <a:solidFill>
              <a:srgbClr val="b85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Combined_2!$R$8:$R$34</c:f>
              <c:numCache>
                <c:formatCode>#,##0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15868000"/>
        <c:axId val="69750484"/>
      </c:barChart>
      <c:catAx>
        <c:axId val="1586800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69750484"/>
        <c:crosses val="autoZero"/>
        <c:auto val="1"/>
        <c:lblAlgn val="ctr"/>
        <c:lblOffset val="100"/>
        <c:noMultiLvlLbl val="0"/>
      </c:catAx>
      <c:valAx>
        <c:axId val="69750484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15868000"/>
        <c:crossesAt val="0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stacked"/>
        <c:varyColors val="0"/>
        <c:ser>
          <c:idx val="0"/>
          <c:order val="0"/>
          <c:tx>
            <c:strRef>
              <c:f>Combined_2!$C$1:$C$1</c:f>
              <c:strCache>
                <c:ptCount val="1"/>
                <c:pt idx="0">
                  <c:v>DST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Combined_2!$C$8:$C$34</c:f>
              <c:numCache>
                <c:formatCode>#,##0</c:formatCode>
                <c:ptCount val="27"/>
                <c:pt idx="0">
                  <c:v>345.61025947732</c:v>
                </c:pt>
                <c:pt idx="1">
                  <c:v>394.508442480669</c:v>
                </c:pt>
                <c:pt idx="2">
                  <c:v>726.008291778911</c:v>
                </c:pt>
                <c:pt idx="3">
                  <c:v>786.755148115208</c:v>
                </c:pt>
                <c:pt idx="4">
                  <c:v>727.603456116417</c:v>
                </c:pt>
                <c:pt idx="5">
                  <c:v>777.772407095745</c:v>
                </c:pt>
                <c:pt idx="6">
                  <c:v>304.277684963515</c:v>
                </c:pt>
                <c:pt idx="7">
                  <c:v>744.360658921001</c:v>
                </c:pt>
                <c:pt idx="8">
                  <c:v>379.785988637743</c:v>
                </c:pt>
                <c:pt idx="9">
                  <c:v>418.692157950257</c:v>
                </c:pt>
                <c:pt idx="10">
                  <c:v>260.893020991029</c:v>
                </c:pt>
                <c:pt idx="11">
                  <c:v>503.093193867792</c:v>
                </c:pt>
                <c:pt idx="12">
                  <c:v>933.361983293492</c:v>
                </c:pt>
                <c:pt idx="13">
                  <c:v>299.863052234907</c:v>
                </c:pt>
                <c:pt idx="14">
                  <c:v>255.791133309077</c:v>
                </c:pt>
                <c:pt idx="15">
                  <c:v>816.326530612245</c:v>
                </c:pt>
                <c:pt idx="16">
                  <c:v>759.034360189574</c:v>
                </c:pt>
                <c:pt idx="17">
                  <c:v>198.137507430157</c:v>
                </c:pt>
                <c:pt idx="18">
                  <c:v>510.538983298082</c:v>
                </c:pt>
                <c:pt idx="19">
                  <c:v>396.580804533444</c:v>
                </c:pt>
                <c:pt idx="20">
                  <c:v>901.606282772202</c:v>
                </c:pt>
                <c:pt idx="21">
                  <c:v>641.88790560472</c:v>
                </c:pt>
                <c:pt idx="22">
                  <c:v>617.708255926284</c:v>
                </c:pt>
                <c:pt idx="23">
                  <c:v>781.105469793829</c:v>
                </c:pt>
                <c:pt idx="24">
                  <c:v>641.137728041033</c:v>
                </c:pt>
                <c:pt idx="25">
                  <c:v>562.985554433614</c:v>
                </c:pt>
                <c:pt idx="26">
                  <c:v>341.958899796996</c:v>
                </c:pt>
              </c:numCache>
            </c:numRef>
          </c:val>
        </c:ser>
        <c:ser>
          <c:idx val="1"/>
          <c:order val="1"/>
          <c:tx>
            <c:strRef>
              <c:f>Combined_2!$E$1:$E$1</c:f>
              <c:strCache>
                <c:ptCount val="1"/>
                <c:pt idx="0">
                  <c:v>Ad Tax</c:v>
                </c:pt>
              </c:strCache>
            </c:strRef>
          </c:tx>
          <c:spPr>
            <a:solidFill>
              <a:srgbClr val="ff420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Combined_2!$E$8:$E$34</c:f>
              <c:numCache>
                <c:formatCode>#,##0</c:formatCode>
                <c:ptCount val="27"/>
                <c:pt idx="0">
                  <c:v>808.87507537245</c:v>
                </c:pt>
                <c:pt idx="1">
                  <c:v>362.947767082216</c:v>
                </c:pt>
                <c:pt idx="2">
                  <c:v>343.898664526853</c:v>
                </c:pt>
                <c:pt idx="3">
                  <c:v>444.687692412944</c:v>
                </c:pt>
                <c:pt idx="4">
                  <c:v>0</c:v>
                </c:pt>
                <c:pt idx="5">
                  <c:v>1155.67312466769</c:v>
                </c:pt>
                <c:pt idx="6">
                  <c:v>740.600403024405</c:v>
                </c:pt>
                <c:pt idx="7">
                  <c:v>679.633645101783</c:v>
                </c:pt>
                <c:pt idx="8">
                  <c:v>520.737489575462</c:v>
                </c:pt>
                <c:pt idx="9">
                  <c:v>656.779628101934</c:v>
                </c:pt>
                <c:pt idx="10">
                  <c:v>723.958023305013</c:v>
                </c:pt>
                <c:pt idx="11">
                  <c:v>298.538818339129</c:v>
                </c:pt>
                <c:pt idx="12">
                  <c:v>758.776288576724</c:v>
                </c:pt>
                <c:pt idx="13">
                  <c:v>494.619467603971</c:v>
                </c:pt>
                <c:pt idx="14">
                  <c:v>491.185128832732</c:v>
                </c:pt>
                <c:pt idx="15">
                  <c:v>604.686318972033</c:v>
                </c:pt>
                <c:pt idx="16">
                  <c:v>444.312796208531</c:v>
                </c:pt>
                <c:pt idx="17">
                  <c:v>0</c:v>
                </c:pt>
                <c:pt idx="18">
                  <c:v>0</c:v>
                </c:pt>
                <c:pt idx="19">
                  <c:v>778.827363119896</c:v>
                </c:pt>
                <c:pt idx="20">
                  <c:v>779.323649278806</c:v>
                </c:pt>
                <c:pt idx="21">
                  <c:v>396.46017699115</c:v>
                </c:pt>
                <c:pt idx="22">
                  <c:v>139.332689306681</c:v>
                </c:pt>
                <c:pt idx="23">
                  <c:v>380.275031346996</c:v>
                </c:pt>
                <c:pt idx="24">
                  <c:v>271.997824017408</c:v>
                </c:pt>
                <c:pt idx="25">
                  <c:v>684.155212562079</c:v>
                </c:pt>
                <c:pt idx="26">
                  <c:v>1087.39311522748</c:v>
                </c:pt>
              </c:numCache>
            </c:numRef>
          </c:val>
        </c:ser>
        <c:ser>
          <c:idx val="2"/>
          <c:order val="2"/>
          <c:tx>
            <c:strRef>
              <c:f>Combined_2!$G$1:$G$1</c:f>
              <c:strCache>
                <c:ptCount val="1"/>
                <c:pt idx="0">
                  <c:v>FTT</c:v>
                </c:pt>
              </c:strCache>
            </c:strRef>
          </c:tx>
          <c:spPr>
            <a:solidFill>
              <a:srgbClr val="ffd32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Combined_2!$G$8:$G$34</c:f>
              <c:numCache>
                <c:formatCode>#,##0</c:formatCode>
                <c:ptCount val="27"/>
                <c:pt idx="0">
                  <c:v>64.710006029796</c:v>
                </c:pt>
                <c:pt idx="1">
                  <c:v>120.522329177844</c:v>
                </c:pt>
                <c:pt idx="2">
                  <c:v>3.82109627252059</c:v>
                </c:pt>
                <c:pt idx="3">
                  <c:v>5.13101183553397</c:v>
                </c:pt>
                <c:pt idx="4">
                  <c:v>36.3801728058208</c:v>
                </c:pt>
                <c:pt idx="5">
                  <c:v>16.6979386834115</c:v>
                </c:pt>
                <c:pt idx="6">
                  <c:v>326.667929706114</c:v>
                </c:pt>
                <c:pt idx="7">
                  <c:v>3.23635069096087</c:v>
                </c:pt>
                <c:pt idx="8">
                  <c:v>318.315472951015</c:v>
                </c:pt>
                <c:pt idx="9">
                  <c:v>1204.03125199054</c:v>
                </c:pt>
                <c:pt idx="10">
                  <c:v>427.725125472651</c:v>
                </c:pt>
                <c:pt idx="11">
                  <c:v>125.496873635152</c:v>
                </c:pt>
                <c:pt idx="12">
                  <c:v>39.617523031882</c:v>
                </c:pt>
                <c:pt idx="13">
                  <c:v>746.257121747491</c:v>
                </c:pt>
                <c:pt idx="14">
                  <c:v>300.168689842225</c:v>
                </c:pt>
                <c:pt idx="15">
                  <c:v>0</c:v>
                </c:pt>
                <c:pt idx="16">
                  <c:v>1.85130331753555</c:v>
                </c:pt>
                <c:pt idx="17">
                  <c:v>0</c:v>
                </c:pt>
                <c:pt idx="18">
                  <c:v>0</c:v>
                </c:pt>
                <c:pt idx="19">
                  <c:v>2342.4546918376</c:v>
                </c:pt>
                <c:pt idx="20">
                  <c:v>114.982177762447</c:v>
                </c:pt>
                <c:pt idx="21">
                  <c:v>117.522123893805</c:v>
                </c:pt>
                <c:pt idx="22">
                  <c:v>8.82440365608977</c:v>
                </c:pt>
                <c:pt idx="23">
                  <c:v>0</c:v>
                </c:pt>
                <c:pt idx="24">
                  <c:v>7.77136640049737</c:v>
                </c:pt>
                <c:pt idx="25">
                  <c:v>198.32258330414</c:v>
                </c:pt>
                <c:pt idx="26">
                  <c:v>443.460985927215</c:v>
                </c:pt>
              </c:numCache>
            </c:numRef>
          </c:val>
        </c:ser>
        <c:ser>
          <c:idx val="3"/>
          <c:order val="3"/>
          <c:tx>
            <c:strRef>
              <c:f>Combined_2!$I$1:$I$1</c:f>
              <c:strCache>
                <c:ptCount val="1"/>
                <c:pt idx="0">
                  <c:v>Wealth Tax</c:v>
                </c:pt>
              </c:strCache>
            </c:strRef>
          </c:tx>
          <c:spPr>
            <a:solidFill>
              <a:srgbClr val="80008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Combined_2!$I$8:$I$34</c:f>
              <c:numCache>
                <c:formatCode>#,##0</c:formatCode>
                <c:ptCount val="27"/>
                <c:pt idx="0">
                  <c:v>2255.04566467471</c:v>
                </c:pt>
                <c:pt idx="1">
                  <c:v>1424.17547735522</c:v>
                </c:pt>
                <c:pt idx="2">
                  <c:v>764.219254504117</c:v>
                </c:pt>
                <c:pt idx="3">
                  <c:v>615.721420264076</c:v>
                </c:pt>
                <c:pt idx="4">
                  <c:v>2091.8599363347</c:v>
                </c:pt>
                <c:pt idx="5">
                  <c:v>1529.17964784926</c:v>
                </c:pt>
                <c:pt idx="6">
                  <c:v>1530.00005741088</c:v>
                </c:pt>
                <c:pt idx="7">
                  <c:v>938.541700378653</c:v>
                </c:pt>
                <c:pt idx="8">
                  <c:v>595.128559514814</c:v>
                </c:pt>
                <c:pt idx="9">
                  <c:v>2590.60917766996</c:v>
                </c:pt>
                <c:pt idx="10">
                  <c:v>2237.29842461372</c:v>
                </c:pt>
                <c:pt idx="11">
                  <c:v>652.362603037356</c:v>
                </c:pt>
                <c:pt idx="12">
                  <c:v>1396.68555773415</c:v>
                </c:pt>
                <c:pt idx="13">
                  <c:v>1023.24402360571</c:v>
                </c:pt>
                <c:pt idx="14">
                  <c:v>1443.23531681716</c:v>
                </c:pt>
                <c:pt idx="15">
                  <c:v>604.686318972033</c:v>
                </c:pt>
                <c:pt idx="16">
                  <c:v>573.904028436019</c:v>
                </c:pt>
                <c:pt idx="17">
                  <c:v>4121.26015454726</c:v>
                </c:pt>
                <c:pt idx="18">
                  <c:v>656.407264240391</c:v>
                </c:pt>
                <c:pt idx="19">
                  <c:v>1090.59721246697</c:v>
                </c:pt>
                <c:pt idx="20">
                  <c:v>1022.06380233286</c:v>
                </c:pt>
                <c:pt idx="21">
                  <c:v>1557.52212389381</c:v>
                </c:pt>
                <c:pt idx="22">
                  <c:v>561.975180203611</c:v>
                </c:pt>
                <c:pt idx="23">
                  <c:v>195.276367448457</c:v>
                </c:pt>
                <c:pt idx="24">
                  <c:v>1457.13120009326</c:v>
                </c:pt>
                <c:pt idx="25">
                  <c:v>1773.033568941</c:v>
                </c:pt>
                <c:pt idx="26">
                  <c:v>1288.22611987016</c:v>
                </c:pt>
              </c:numCache>
            </c:numRef>
          </c:val>
        </c:ser>
        <c:ser>
          <c:idx val="4"/>
          <c:order val="4"/>
          <c:tx>
            <c:strRef>
              <c:f>Combined_2!$K$1:$K$1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729fc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Combined_2!$K$8:$K$34</c:f>
              <c:numCache>
                <c:formatCode>General</c:formatCode>
                <c:ptCount val="27"/>
                <c:pt idx="0">
                  <c:v>323</c:v>
                </c:pt>
                <c:pt idx="1">
                  <c:v>187</c:v>
                </c:pt>
                <c:pt idx="2">
                  <c:v>45.9</c:v>
                </c:pt>
                <c:pt idx="3">
                  <c:v>64.6</c:v>
                </c:pt>
                <c:pt idx="4">
                  <c:v>49.3</c:v>
                </c:pt>
                <c:pt idx="5">
                  <c:v>74.8</c:v>
                </c:pt>
                <c:pt idx="6">
                  <c:v>192.1</c:v>
                </c:pt>
                <c:pt idx="7">
                  <c:v>153</c:v>
                </c:pt>
                <c:pt idx="8">
                  <c:v>122.4</c:v>
                </c:pt>
                <c:pt idx="9">
                  <c:v>914.6</c:v>
                </c:pt>
                <c:pt idx="10">
                  <c:v>1088</c:v>
                </c:pt>
                <c:pt idx="11">
                  <c:v>431.8</c:v>
                </c:pt>
                <c:pt idx="12">
                  <c:v>62.9</c:v>
                </c:pt>
                <c:pt idx="13">
                  <c:v>159.8</c:v>
                </c:pt>
                <c:pt idx="14">
                  <c:v>1208.7</c:v>
                </c:pt>
                <c:pt idx="15">
                  <c:v>30.6</c:v>
                </c:pt>
                <c:pt idx="16">
                  <c:v>23.8</c:v>
                </c:pt>
                <c:pt idx="17">
                  <c:v>35.7</c:v>
                </c:pt>
                <c:pt idx="18">
                  <c:v>45.9</c:v>
                </c:pt>
                <c:pt idx="19">
                  <c:v>336.6</c:v>
                </c:pt>
                <c:pt idx="20">
                  <c:v>202.3</c:v>
                </c:pt>
                <c:pt idx="21">
                  <c:v>331.5</c:v>
                </c:pt>
                <c:pt idx="22">
                  <c:v>105.4</c:v>
                </c:pt>
                <c:pt idx="23">
                  <c:v>68</c:v>
                </c:pt>
                <c:pt idx="24">
                  <c:v>51</c:v>
                </c:pt>
                <c:pt idx="25">
                  <c:v>1586.1</c:v>
                </c:pt>
                <c:pt idx="26">
                  <c:v>197.2</c:v>
                </c:pt>
              </c:numCache>
            </c:numRef>
          </c:val>
        </c:ser>
        <c:ser>
          <c:idx val="5"/>
          <c:order val="5"/>
          <c:tx>
            <c:strRef>
              <c:f>Combined_2!$R$1:$R$1</c:f>
              <c:strCache>
                <c:ptCount val="1"/>
                <c:pt idx="0">
                  <c:v>Luxury tax</c:v>
                </c:pt>
              </c:strCache>
            </c:strRef>
          </c:tx>
          <c:spPr>
            <a:solidFill>
              <a:srgbClr val="b85c0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Combined_2!$A$8:$A$34</c:f>
              <c:strCache>
                <c:ptCount val="27"/>
                <c:pt idx="0">
                  <c:v>Austria</c:v>
                </c:pt>
                <c:pt idx="1">
                  <c:v>Belgium</c:v>
                </c:pt>
                <c:pt idx="2">
                  <c:v>Bulgaria</c:v>
                </c:pt>
                <c:pt idx="3">
                  <c:v>Croatia</c:v>
                </c:pt>
                <c:pt idx="4">
                  <c:v>Cyprus</c:v>
                </c:pt>
                <c:pt idx="5">
                  <c:v>Czechia</c:v>
                </c:pt>
                <c:pt idx="6">
                  <c:v>Denmark</c:v>
                </c:pt>
                <c:pt idx="7">
                  <c:v>Estonia</c:v>
                </c:pt>
                <c:pt idx="8">
                  <c:v>Finland</c:v>
                </c:pt>
                <c:pt idx="9">
                  <c:v>France</c:v>
                </c:pt>
                <c:pt idx="10">
                  <c:v>Germany</c:v>
                </c:pt>
                <c:pt idx="11">
                  <c:v>Greece</c:v>
                </c:pt>
                <c:pt idx="12">
                  <c:v>Hungary</c:v>
                </c:pt>
                <c:pt idx="13">
                  <c:v>Ireland</c:v>
                </c:pt>
                <c:pt idx="14">
                  <c:v>Italy</c:v>
                </c:pt>
                <c:pt idx="15">
                  <c:v>Latvia</c:v>
                </c:pt>
                <c:pt idx="16">
                  <c:v>Lithuania</c:v>
                </c:pt>
                <c:pt idx="17">
                  <c:v>Luxembourg</c:v>
                </c:pt>
                <c:pt idx="18">
                  <c:v>Malta</c:v>
                </c:pt>
                <c:pt idx="19">
                  <c:v>Netherlands</c:v>
                </c:pt>
                <c:pt idx="20">
                  <c:v>Poland</c:v>
                </c:pt>
                <c:pt idx="21">
                  <c:v>Portugal</c:v>
                </c:pt>
                <c:pt idx="22">
                  <c:v>Romania</c:v>
                </c:pt>
                <c:pt idx="23">
                  <c:v>Slovakia</c:v>
                </c:pt>
                <c:pt idx="24">
                  <c:v>Slovenia</c:v>
                </c:pt>
                <c:pt idx="25">
                  <c:v>Spain</c:v>
                </c:pt>
                <c:pt idx="26">
                  <c:v>Sweden</c:v>
                </c:pt>
              </c:strCache>
            </c:strRef>
          </c:cat>
          <c:val>
            <c:numRef>
              <c:f>Combined_2!$R$8:$R$34</c:f>
              <c:numCache>
                <c:formatCode>#,##0</c:formatCode>
                <c:ptCount val="27"/>
                <c:pt idx="0">
                  <c:v>3300.2103075196</c:v>
                </c:pt>
                <c:pt idx="1">
                  <c:v>2629.00426069118</c:v>
                </c:pt>
                <c:pt idx="2">
                  <c:v>4157.3527445024</c:v>
                </c:pt>
                <c:pt idx="3">
                  <c:v>5349.93500718342</c:v>
                </c:pt>
                <c:pt idx="4">
                  <c:v>9276.94406548431</c:v>
                </c:pt>
                <c:pt idx="5">
                  <c:v>2749.00801061637</c:v>
                </c:pt>
                <c:pt idx="6">
                  <c:v>1639.65484576566</c:v>
                </c:pt>
                <c:pt idx="7">
                  <c:v>2200.71846985339</c:v>
                </c:pt>
                <c:pt idx="8">
                  <c:v>1544.20199916212</c:v>
                </c:pt>
                <c:pt idx="9">
                  <c:v>3274.96500541426</c:v>
                </c:pt>
                <c:pt idx="10">
                  <c:v>2104.09014832559</c:v>
                </c:pt>
                <c:pt idx="11">
                  <c:v>4736.81591764751</c:v>
                </c:pt>
                <c:pt idx="12">
                  <c:v>2283.04370014235</c:v>
                </c:pt>
                <c:pt idx="13">
                  <c:v>1597.62088036082</c:v>
                </c:pt>
                <c:pt idx="14">
                  <c:v>4235.98937143739</c:v>
                </c:pt>
                <c:pt idx="15">
                  <c:v>2055.93348450491</c:v>
                </c:pt>
                <c:pt idx="16">
                  <c:v>2014.21800947867</c:v>
                </c:pt>
                <c:pt idx="17">
                  <c:v>4850.40618189023</c:v>
                </c:pt>
                <c:pt idx="18">
                  <c:v>8927.13879366932</c:v>
                </c:pt>
                <c:pt idx="19">
                  <c:v>1787.00266139166</c:v>
                </c:pt>
                <c:pt idx="20">
                  <c:v>1985.72395881813</c:v>
                </c:pt>
                <c:pt idx="21">
                  <c:v>4108.08259587021</c:v>
                </c:pt>
                <c:pt idx="22">
                  <c:v>2021.25287954225</c:v>
                </c:pt>
                <c:pt idx="23">
                  <c:v>1817.09798762565</c:v>
                </c:pt>
                <c:pt idx="24">
                  <c:v>2906.49103378602</c:v>
                </c:pt>
                <c:pt idx="25">
                  <c:v>3463.96851237455</c:v>
                </c:pt>
                <c:pt idx="26">
                  <c:v>1747.0662097565</c:v>
                </c:pt>
              </c:numCache>
            </c:numRef>
          </c:val>
        </c:ser>
        <c:gapWidth val="100"/>
        <c:overlap val="100"/>
        <c:axId val="85549976"/>
        <c:axId val="45664579"/>
      </c:barChart>
      <c:catAx>
        <c:axId val="85549976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45664579"/>
        <c:crosses val="autoZero"/>
        <c:auto val="1"/>
        <c:lblAlgn val="ctr"/>
        <c:lblOffset val="100"/>
        <c:noMultiLvlLbl val="0"/>
      </c:catAx>
      <c:valAx>
        <c:axId val="45664579"/>
        <c:scaling>
          <c:orientation val="minMax"/>
        </c:scaling>
        <c:delete val="0"/>
        <c:axPos val="l"/>
        <c:numFmt formatCode="#,##0" sourceLinked="0"/>
        <c:majorTickMark val="out"/>
        <c:minorTickMark val="none"/>
        <c:tickLblPos val="nextTo"/>
        <c:spPr>
          <a:ln w="0">
            <a:noFill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  <a:ea typeface="DejaVu Sans"/>
              </a:defRPr>
            </a:pPr>
          </a:p>
        </c:txPr>
        <c:crossAx val="8554997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  <a:ea typeface="DejaVu Sans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713880</xdr:colOff>
      <xdr:row>46</xdr:row>
      <xdr:rowOff>84240</xdr:rowOff>
    </xdr:from>
    <xdr:to>
      <xdr:col>7</xdr:col>
      <xdr:colOff>1171080</xdr:colOff>
      <xdr:row>78</xdr:row>
      <xdr:rowOff>25920</xdr:rowOff>
    </xdr:to>
    <xdr:graphicFrame>
      <xdr:nvGraphicFramePr>
        <xdr:cNvPr id="0" name=""/>
        <xdr:cNvGraphicFramePr/>
      </xdr:nvGraphicFramePr>
      <xdr:xfrm>
        <a:off x="2474280" y="9185040"/>
        <a:ext cx="10058400" cy="565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935640</xdr:colOff>
      <xdr:row>45</xdr:row>
      <xdr:rowOff>147960</xdr:rowOff>
    </xdr:from>
    <xdr:to>
      <xdr:col>20</xdr:col>
      <xdr:colOff>330120</xdr:colOff>
      <xdr:row>77</xdr:row>
      <xdr:rowOff>89640</xdr:rowOff>
    </xdr:to>
    <xdr:graphicFrame>
      <xdr:nvGraphicFramePr>
        <xdr:cNvPr id="1" name=""/>
        <xdr:cNvGraphicFramePr/>
      </xdr:nvGraphicFramePr>
      <xdr:xfrm>
        <a:off x="13897440" y="9073440"/>
        <a:ext cx="10058400" cy="5656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5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pane xSplit="1" ySplit="4" topLeftCell="H5" activePane="bottomRight" state="frozen"/>
      <selection pane="topLeft" activeCell="A1" activeCellId="0" sqref="A1"/>
      <selection pane="topRight" activeCell="H1" activeCellId="0" sqref="H1"/>
      <selection pane="bottomLeft" activeCell="A5" activeCellId="0" sqref="A5"/>
      <selection pane="bottomRight" activeCell="AA19" activeCellId="0" sqref="AA19"/>
    </sheetView>
  </sheetViews>
  <sheetFormatPr defaultColWidth="8.59765625" defaultRowHeight="13.8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20"/>
    <col collapsed="false" customWidth="true" hidden="false" outlineLevel="0" max="10" min="9" style="1" width="15.07"/>
    <col collapsed="false" customWidth="true" hidden="false" outlineLevel="0" max="11" min="11" style="1" width="18.25"/>
    <col collapsed="false" customWidth="true" hidden="false" outlineLevel="0" max="12" min="12" style="1" width="11.93"/>
    <col collapsed="false" customWidth="false" hidden="false" outlineLevel="0" max="13" min="13" style="1" width="8.59"/>
    <col collapsed="false" customWidth="true" hidden="false" outlineLevel="0" max="16" min="16" style="0" width="10.13"/>
    <col collapsed="false" customWidth="true" hidden="false" outlineLevel="0" max="17" min="17" style="0" width="11.27"/>
    <col collapsed="false" customWidth="true" hidden="false" outlineLevel="0" max="21" min="21" style="1" width="18.88"/>
    <col collapsed="false" customWidth="true" hidden="false" outlineLevel="0" max="23" min="23" style="2" width="14.37"/>
    <col collapsed="false" customWidth="true" hidden="false" outlineLevel="0" max="24" min="24" style="2" width="17.15"/>
    <col collapsed="false" customWidth="true" hidden="false" outlineLevel="0" max="25" min="25" style="2" width="14.58"/>
    <col collapsed="false" customWidth="true" hidden="false" outlineLevel="0" max="26" min="26" style="1" width="14.58"/>
    <col collapsed="false" customWidth="true" hidden="false" outlineLevel="0" max="27" min="27" style="1" width="22.7"/>
    <col collapsed="false" customWidth="true" hidden="false" outlineLevel="0" max="28" min="28" style="1" width="11.76"/>
    <col collapsed="false" customWidth="true" hidden="false" outlineLevel="0" max="39" min="39" style="1" width="11.79"/>
    <col collapsed="false" customWidth="true" hidden="false" outlineLevel="0" max="16382" min="16347" style="1" width="10.16"/>
    <col collapsed="false" customWidth="true" hidden="false" outlineLevel="0" max="16384" min="16383" style="0" width="10.16"/>
  </cols>
  <sheetData>
    <row r="1" s="10" customFormat="true" ht="19.5" hidden="false" customHeight="true" outlineLevel="0" collapsed="false">
      <c r="A1" s="3" t="s">
        <v>0</v>
      </c>
      <c r="B1" s="4"/>
      <c r="C1" s="4" t="s">
        <v>1</v>
      </c>
      <c r="D1" s="5"/>
      <c r="E1" s="5" t="s">
        <v>2</v>
      </c>
      <c r="F1" s="4"/>
      <c r="G1" s="4" t="s">
        <v>3</v>
      </c>
      <c r="H1" s="6"/>
      <c r="I1" s="6" t="s">
        <v>4</v>
      </c>
      <c r="J1" s="7" t="s">
        <v>5</v>
      </c>
      <c r="K1" s="7"/>
      <c r="L1" s="7"/>
      <c r="M1" s="7"/>
      <c r="N1" s="8" t="s">
        <v>6</v>
      </c>
      <c r="O1" s="8"/>
      <c r="P1" s="8"/>
      <c r="Q1" s="8"/>
      <c r="R1" s="8" t="s">
        <v>6</v>
      </c>
      <c r="S1" s="8"/>
      <c r="T1" s="8"/>
      <c r="U1" s="7" t="s">
        <v>7</v>
      </c>
      <c r="V1" s="7"/>
      <c r="W1" s="9"/>
      <c r="X1" s="9"/>
      <c r="Y1" s="9"/>
      <c r="AG1" s="10" t="s">
        <v>8</v>
      </c>
      <c r="AH1" s="10" t="s">
        <v>9</v>
      </c>
      <c r="XFC1" s="0"/>
      <c r="XFD1" s="0"/>
    </row>
    <row r="2" s="13" customFormat="true" ht="30" hidden="false" customHeight="true" outlineLevel="0" collapsed="false">
      <c r="A2" s="3"/>
      <c r="B2" s="11" t="s">
        <v>10</v>
      </c>
      <c r="C2" s="11" t="s">
        <v>10</v>
      </c>
      <c r="D2" s="11" t="s">
        <v>10</v>
      </c>
      <c r="E2" s="11" t="s">
        <v>10</v>
      </c>
      <c r="F2" s="11" t="s">
        <v>10</v>
      </c>
      <c r="G2" s="11" t="s">
        <v>10</v>
      </c>
      <c r="H2" s="11" t="s">
        <v>10</v>
      </c>
      <c r="I2" s="11" t="s">
        <v>10</v>
      </c>
      <c r="J2" s="12" t="s">
        <v>11</v>
      </c>
      <c r="K2" s="11" t="s">
        <v>10</v>
      </c>
      <c r="L2" s="11" t="s">
        <v>10</v>
      </c>
      <c r="M2" s="12"/>
      <c r="N2" s="12" t="s">
        <v>12</v>
      </c>
      <c r="O2" s="12" t="s">
        <v>13</v>
      </c>
      <c r="P2" s="11" t="s">
        <v>10</v>
      </c>
      <c r="Q2" s="11" t="s">
        <v>10</v>
      </c>
      <c r="R2" s="12"/>
      <c r="S2" s="12" t="s">
        <v>14</v>
      </c>
      <c r="T2" s="12" t="s">
        <v>15</v>
      </c>
      <c r="V2" s="13" t="s">
        <v>16</v>
      </c>
      <c r="W2" s="9"/>
      <c r="X2" s="9"/>
      <c r="Y2" s="9" t="s">
        <v>17</v>
      </c>
      <c r="Z2" s="13" t="s">
        <v>18</v>
      </c>
      <c r="AD2" s="13" t="s">
        <v>19</v>
      </c>
      <c r="AG2" s="13" t="s">
        <v>20</v>
      </c>
      <c r="AH2" s="13" t="s">
        <v>14</v>
      </c>
      <c r="XFC2" s="0"/>
      <c r="XFD2" s="0"/>
    </row>
    <row r="3" s="13" customFormat="true" ht="19.5" hidden="false" customHeight="true" outlineLevel="0" collapsed="false">
      <c r="A3" s="3"/>
      <c r="B3" s="11" t="s">
        <v>21</v>
      </c>
      <c r="C3" s="11" t="s">
        <v>22</v>
      </c>
      <c r="D3" s="11" t="s">
        <v>21</v>
      </c>
      <c r="E3" s="11" t="s">
        <v>22</v>
      </c>
      <c r="F3" s="11" t="s">
        <v>21</v>
      </c>
      <c r="G3" s="11" t="s">
        <v>22</v>
      </c>
      <c r="H3" s="11" t="s">
        <v>21</v>
      </c>
      <c r="I3" s="11" t="s">
        <v>22</v>
      </c>
      <c r="J3" s="12" t="s">
        <v>23</v>
      </c>
      <c r="K3" s="11" t="s">
        <v>21</v>
      </c>
      <c r="L3" s="11" t="s">
        <v>22</v>
      </c>
      <c r="M3" s="12"/>
      <c r="N3" s="12" t="s">
        <v>24</v>
      </c>
      <c r="O3" s="12" t="s">
        <v>23</v>
      </c>
      <c r="P3" s="11" t="s">
        <v>21</v>
      </c>
      <c r="Q3" s="11" t="s">
        <v>22</v>
      </c>
      <c r="R3" s="12"/>
      <c r="S3" s="12" t="s">
        <v>23</v>
      </c>
      <c r="T3" s="12"/>
      <c r="V3" s="13" t="s">
        <v>23</v>
      </c>
      <c r="W3" s="9" t="s">
        <v>25</v>
      </c>
      <c r="X3" s="9"/>
      <c r="Y3" s="9"/>
      <c r="Z3" s="14"/>
      <c r="AA3" s="14"/>
      <c r="AB3" s="13" t="s">
        <v>26</v>
      </c>
      <c r="AD3" s="13" t="s">
        <v>27</v>
      </c>
      <c r="AH3" s="13" t="s">
        <v>24</v>
      </c>
      <c r="XFC3" s="0"/>
      <c r="XFD3" s="0"/>
    </row>
    <row r="4" s="17" customFormat="true" ht="18" hidden="false" customHeight="true" outlineLevel="0" collapsed="false">
      <c r="A4" s="15" t="s">
        <v>28</v>
      </c>
      <c r="B4" s="16" t="s">
        <v>29</v>
      </c>
      <c r="C4" s="16"/>
      <c r="D4" s="16" t="s">
        <v>30</v>
      </c>
      <c r="E4" s="16"/>
      <c r="F4" s="16" t="s">
        <v>31</v>
      </c>
      <c r="G4" s="16"/>
      <c r="H4" s="16" t="s">
        <v>32</v>
      </c>
      <c r="I4" s="16"/>
      <c r="K4" s="16" t="s">
        <v>5</v>
      </c>
      <c r="L4" s="16"/>
      <c r="M4" s="16"/>
      <c r="P4" s="16" t="s">
        <v>33</v>
      </c>
      <c r="Q4" s="16"/>
      <c r="R4" s="16"/>
      <c r="W4" s="2"/>
      <c r="X4" s="2"/>
      <c r="Y4" s="2"/>
      <c r="AH4" s="16"/>
      <c r="XDS4" s="16"/>
      <c r="XDT4" s="16"/>
      <c r="XDU4" s="16"/>
      <c r="XDV4" s="16"/>
      <c r="XDW4" s="16"/>
      <c r="XDX4" s="16"/>
      <c r="XDY4" s="16"/>
      <c r="XDZ4" s="16"/>
      <c r="XEA4" s="16"/>
      <c r="XEB4" s="16"/>
      <c r="XEC4" s="16"/>
      <c r="XED4" s="16"/>
      <c r="XEE4" s="16"/>
      <c r="XEF4" s="16"/>
      <c r="XEG4" s="16"/>
      <c r="XEH4" s="16"/>
      <c r="XEI4" s="16"/>
      <c r="XEJ4" s="16"/>
      <c r="XEK4" s="16"/>
      <c r="XEL4" s="16"/>
      <c r="XEM4" s="16"/>
      <c r="XEN4" s="16"/>
      <c r="XEO4" s="16"/>
      <c r="XEP4" s="16"/>
      <c r="XEQ4" s="16"/>
      <c r="XER4" s="16"/>
      <c r="XES4" s="16"/>
      <c r="XET4" s="16"/>
      <c r="XEU4" s="16"/>
      <c r="XEV4" s="16"/>
      <c r="XEW4" s="16"/>
      <c r="XEX4" s="16"/>
      <c r="XEY4" s="16"/>
      <c r="XEZ4" s="16"/>
      <c r="XFA4" s="16"/>
      <c r="XFB4" s="16"/>
      <c r="XFC4" s="0"/>
      <c r="XFD4" s="0"/>
    </row>
    <row r="5" s="17" customFormat="true" ht="18" hidden="false" customHeight="true" outlineLevel="0" collapsed="false">
      <c r="A5" s="15" t="s">
        <v>34</v>
      </c>
      <c r="B5" s="16"/>
      <c r="C5" s="16" t="s">
        <v>29</v>
      </c>
      <c r="D5" s="16"/>
      <c r="E5" s="16" t="s">
        <v>30</v>
      </c>
      <c r="F5" s="16"/>
      <c r="G5" s="16" t="s">
        <v>31</v>
      </c>
      <c r="H5" s="16"/>
      <c r="I5" s="16" t="s">
        <v>32</v>
      </c>
      <c r="K5" s="16"/>
      <c r="L5" s="16" t="s">
        <v>5</v>
      </c>
      <c r="M5" s="16"/>
      <c r="P5" s="16"/>
      <c r="Q5" s="16" t="s">
        <v>33</v>
      </c>
      <c r="R5" s="16"/>
      <c r="W5" s="2"/>
      <c r="X5" s="2"/>
      <c r="Y5" s="2"/>
      <c r="AH5" s="16"/>
      <c r="XDS5" s="16"/>
      <c r="XDT5" s="16"/>
      <c r="XDU5" s="16"/>
      <c r="XDV5" s="16"/>
      <c r="XDW5" s="16"/>
      <c r="XDX5" s="16"/>
      <c r="XDY5" s="16"/>
      <c r="XDZ5" s="16"/>
      <c r="XEA5" s="16"/>
      <c r="XEB5" s="16"/>
      <c r="XEC5" s="16"/>
      <c r="XED5" s="16"/>
      <c r="XEE5" s="16"/>
      <c r="XEF5" s="16"/>
      <c r="XEG5" s="16"/>
      <c r="XEH5" s="16"/>
      <c r="XEI5" s="16"/>
      <c r="XEJ5" s="16"/>
      <c r="XEK5" s="16"/>
      <c r="XEL5" s="16"/>
      <c r="XEM5" s="16"/>
      <c r="XEN5" s="16"/>
      <c r="XEO5" s="16"/>
      <c r="XEP5" s="16"/>
      <c r="XEQ5" s="16"/>
      <c r="XER5" s="16"/>
      <c r="XES5" s="16"/>
      <c r="XET5" s="16"/>
      <c r="XEU5" s="16"/>
      <c r="XEV5" s="16"/>
      <c r="XEW5" s="16"/>
      <c r="XEX5" s="16"/>
      <c r="XEY5" s="16"/>
      <c r="XEZ5" s="16"/>
      <c r="XFA5" s="16"/>
      <c r="XFB5" s="16"/>
      <c r="XFC5" s="0"/>
      <c r="XFD5" s="0"/>
    </row>
    <row r="6" s="17" customFormat="true" ht="18" hidden="false" customHeight="true" outlineLevel="0" collapsed="false">
      <c r="A6" s="15" t="s">
        <v>35</v>
      </c>
      <c r="B6" s="16"/>
      <c r="C6" s="16"/>
      <c r="D6" s="16"/>
      <c r="E6" s="16"/>
      <c r="F6" s="16"/>
      <c r="G6" s="16"/>
      <c r="H6" s="16"/>
      <c r="I6" s="16"/>
      <c r="K6" s="16"/>
      <c r="L6" s="16"/>
      <c r="M6" s="16"/>
      <c r="P6" s="16"/>
      <c r="Q6" s="16"/>
      <c r="R6" s="16"/>
      <c r="W6" s="2"/>
      <c r="X6" s="2"/>
      <c r="Y6" s="2"/>
      <c r="Z6" s="17" t="s">
        <v>36</v>
      </c>
      <c r="AD6" s="17" t="s">
        <v>37</v>
      </c>
      <c r="AH6" s="16"/>
      <c r="XDS6" s="16"/>
      <c r="XDT6" s="16"/>
      <c r="XDU6" s="16"/>
      <c r="XDV6" s="16"/>
      <c r="XDW6" s="16"/>
      <c r="XDX6" s="16"/>
      <c r="XDY6" s="16"/>
      <c r="XDZ6" s="16"/>
      <c r="XEA6" s="16"/>
      <c r="XEB6" s="16"/>
      <c r="XEC6" s="16"/>
      <c r="XED6" s="16"/>
      <c r="XEE6" s="16"/>
      <c r="XEF6" s="16"/>
      <c r="XEG6" s="16"/>
      <c r="XEH6" s="16"/>
      <c r="XEI6" s="16"/>
      <c r="XEJ6" s="16"/>
      <c r="XEK6" s="16"/>
      <c r="XEL6" s="16"/>
      <c r="XEM6" s="16"/>
      <c r="XEN6" s="16"/>
      <c r="XEO6" s="16"/>
      <c r="XEP6" s="16"/>
      <c r="XEQ6" s="16"/>
      <c r="XER6" s="16"/>
      <c r="XES6" s="16"/>
      <c r="XET6" s="16"/>
      <c r="XEU6" s="16"/>
      <c r="XEV6" s="16"/>
      <c r="XEW6" s="16"/>
      <c r="XEX6" s="16"/>
      <c r="XEY6" s="16"/>
      <c r="XEZ6" s="16"/>
      <c r="XFA6" s="16"/>
      <c r="XFB6" s="16"/>
      <c r="XFC6" s="0"/>
      <c r="XFD6" s="0"/>
    </row>
    <row r="7" s="17" customFormat="true" ht="18" hidden="false" customHeight="true" outlineLevel="0" collapsed="false">
      <c r="A7" s="15" t="s">
        <v>38</v>
      </c>
      <c r="B7" s="16"/>
      <c r="C7" s="16"/>
      <c r="D7" s="16"/>
      <c r="E7" s="16"/>
      <c r="F7" s="16"/>
      <c r="G7" s="16"/>
      <c r="H7" s="16"/>
      <c r="I7" s="16"/>
      <c r="K7" s="16"/>
      <c r="L7" s="16"/>
      <c r="M7" s="16"/>
      <c r="P7" s="16"/>
      <c r="Q7" s="16"/>
      <c r="R7" s="16"/>
      <c r="W7" s="2"/>
      <c r="X7" s="2"/>
      <c r="Y7" s="2"/>
      <c r="Z7" s="1"/>
      <c r="AA7" s="17" t="s">
        <v>36</v>
      </c>
      <c r="AD7" s="1"/>
      <c r="AE7" s="17" t="s">
        <v>37</v>
      </c>
      <c r="AH7" s="16"/>
      <c r="XDS7" s="16"/>
      <c r="XDT7" s="16"/>
      <c r="XDU7" s="16"/>
      <c r="XDV7" s="16"/>
      <c r="XDW7" s="16"/>
      <c r="XDX7" s="16"/>
      <c r="XDY7" s="16"/>
      <c r="XDZ7" s="16"/>
      <c r="XEA7" s="16"/>
      <c r="XEB7" s="16"/>
      <c r="XEC7" s="16"/>
      <c r="XED7" s="16"/>
      <c r="XEE7" s="16"/>
      <c r="XEF7" s="16"/>
      <c r="XEG7" s="16"/>
      <c r="XEH7" s="16"/>
      <c r="XEI7" s="16"/>
      <c r="XEJ7" s="16"/>
      <c r="XEK7" s="16"/>
      <c r="XEL7" s="16"/>
      <c r="XEM7" s="16"/>
      <c r="XEN7" s="16"/>
      <c r="XEO7" s="16"/>
      <c r="XEP7" s="16"/>
      <c r="XEQ7" s="16"/>
      <c r="XER7" s="16"/>
      <c r="XES7" s="16"/>
      <c r="XET7" s="16"/>
      <c r="XEU7" s="16"/>
      <c r="XEV7" s="16"/>
      <c r="XEW7" s="16"/>
      <c r="XEX7" s="16"/>
      <c r="XEY7" s="16"/>
      <c r="XEZ7" s="16"/>
      <c r="XFA7" s="16"/>
      <c r="XFB7" s="16"/>
      <c r="XFC7" s="0"/>
      <c r="XFD7" s="0"/>
    </row>
    <row r="8" customFormat="false" ht="15" hidden="false" customHeight="true" outlineLevel="0" collapsed="false">
      <c r="A8" s="18" t="s">
        <v>39</v>
      </c>
      <c r="B8" s="19" t="n">
        <v>141</v>
      </c>
      <c r="C8" s="19" t="n">
        <f aca="false">1000*B8/$U8</f>
        <v>345.61025947732</v>
      </c>
      <c r="D8" s="20" t="n">
        <v>330</v>
      </c>
      <c r="E8" s="19" t="n">
        <f aca="false">1000*D8/$U8</f>
        <v>808.87507537245</v>
      </c>
      <c r="F8" s="21" t="n">
        <v>26.4</v>
      </c>
      <c r="G8" s="19" t="n">
        <f aca="false">1000*F8/$U8</f>
        <v>64.710006029796</v>
      </c>
      <c r="H8" s="19" t="n">
        <v>920</v>
      </c>
      <c r="I8" s="19" t="n">
        <f aca="false">1000*H8/$U8</f>
        <v>2255.04566467471</v>
      </c>
      <c r="J8" s="1" t="n">
        <v>2.09</v>
      </c>
      <c r="K8" s="1" t="n">
        <f aca="false">L8*$K$37/100</f>
        <v>323</v>
      </c>
      <c r="L8" s="1" t="n">
        <v>1900</v>
      </c>
      <c r="M8" s="19" t="n">
        <f aca="false">1000*L8/$U8</f>
        <v>4657.15952487168</v>
      </c>
      <c r="N8" s="1" t="n">
        <v>9.9</v>
      </c>
      <c r="O8" s="1" t="n">
        <v>3.3</v>
      </c>
      <c r="P8" s="1" t="n">
        <f aca="false">Q8*$P$37/100</f>
        <v>1346.4</v>
      </c>
      <c r="Q8" s="1" t="n">
        <v>9900</v>
      </c>
      <c r="R8" s="19" t="n">
        <f aca="false">1000*P8/$U8</f>
        <v>3300.2103075196</v>
      </c>
      <c r="S8" s="1" t="n">
        <v>2.8</v>
      </c>
      <c r="T8" s="1" t="n">
        <v>1.18</v>
      </c>
      <c r="U8" s="1" t="n">
        <v>407.974</v>
      </c>
      <c r="V8" s="1" t="n">
        <f aca="false">100*U8/$U$36</f>
        <v>2.80209736617656</v>
      </c>
      <c r="W8" s="2" t="n">
        <f aca="false">H8+F8+B8+D8+K8+P8</f>
        <v>3086.8</v>
      </c>
      <c r="X8" s="2" t="n">
        <f aca="false">W8/U8</f>
        <v>7.56616843230206</v>
      </c>
      <c r="Z8" s="1" t="n">
        <f aca="false">-Y8+($V$45 + $V$46)*1000*V8/100</f>
        <v>1254.66991877658</v>
      </c>
      <c r="AA8" s="1" t="n">
        <f aca="false">Z8/U8/10</f>
        <v>0.307536734884228</v>
      </c>
      <c r="AB8" s="1" t="n">
        <f aca="false">Z8/U8</f>
        <v>3.07536734884228</v>
      </c>
      <c r="AD8" s="1" t="n">
        <f aca="false">-V8*($V$47)*10</f>
        <v>-672.503367882374</v>
      </c>
      <c r="AE8" s="1" t="n">
        <f aca="false">AD8/U8/10</f>
        <v>-0.16483976132851</v>
      </c>
      <c r="AH8" s="1" t="n">
        <v>514.3</v>
      </c>
      <c r="AM8" s="1" t="s">
        <v>40</v>
      </c>
      <c r="AN8" s="1" t="n">
        <v>1</v>
      </c>
      <c r="AO8" s="1" t="n">
        <v>90</v>
      </c>
      <c r="AP8" s="1" t="n">
        <f aca="false">AN8+AO8/100</f>
        <v>1.9</v>
      </c>
      <c r="AQ8" s="1" t="n">
        <f aca="false">AP8*1000</f>
        <v>1900</v>
      </c>
      <c r="AT8" s="22" t="s">
        <v>41</v>
      </c>
      <c r="AU8" s="1" t="n">
        <v>9</v>
      </c>
      <c r="AV8" s="1" t="n">
        <v>9</v>
      </c>
      <c r="AW8" s="22" t="n">
        <f aca="false">AU8+AV8/10</f>
        <v>9.9</v>
      </c>
      <c r="AX8" s="22" t="n">
        <f aca="false">1000*AW8</f>
        <v>9900</v>
      </c>
    </row>
    <row r="9" customFormat="false" ht="15" hidden="false" customHeight="true" outlineLevel="0" collapsed="false">
      <c r="A9" s="23" t="s">
        <v>42</v>
      </c>
      <c r="B9" s="24" t="n">
        <v>200</v>
      </c>
      <c r="C9" s="19" t="n">
        <f aca="false">1000*B9/$U9</f>
        <v>394.508442480669</v>
      </c>
      <c r="D9" s="25" t="n">
        <v>184</v>
      </c>
      <c r="E9" s="19" t="n">
        <f aca="false">1000*D9/$U9</f>
        <v>362.947767082216</v>
      </c>
      <c r="F9" s="26" t="n">
        <v>61.1</v>
      </c>
      <c r="G9" s="19" t="n">
        <f aca="false">1000*F9/$U9</f>
        <v>120.522329177844</v>
      </c>
      <c r="H9" s="24" t="n">
        <v>722</v>
      </c>
      <c r="I9" s="19" t="n">
        <f aca="false">1000*H9/$U9</f>
        <v>1424.17547735522</v>
      </c>
      <c r="J9" s="1" t="n">
        <v>3.36</v>
      </c>
      <c r="K9" s="1" t="n">
        <f aca="false">L9*$K$37/100</f>
        <v>187</v>
      </c>
      <c r="L9" s="1" t="n">
        <v>1100</v>
      </c>
      <c r="M9" s="19" t="n">
        <f aca="false">1000*L9/$U9</f>
        <v>2169.79643364368</v>
      </c>
      <c r="N9" s="1" t="n">
        <v>9.8</v>
      </c>
      <c r="O9" s="1" t="n">
        <v>3.3</v>
      </c>
      <c r="P9" s="1" t="n">
        <f aca="false">Q9*$P$37/100</f>
        <v>1332.8</v>
      </c>
      <c r="Q9" s="1" t="n">
        <v>9800</v>
      </c>
      <c r="R9" s="19" t="n">
        <f aca="false">1000*P9/$U9</f>
        <v>2629.00426069118</v>
      </c>
      <c r="S9" s="1" t="n">
        <v>3.5</v>
      </c>
      <c r="T9" s="1" t="n">
        <v>0.93</v>
      </c>
      <c r="U9" s="1" t="n">
        <v>506.96</v>
      </c>
      <c r="V9" s="1" t="n">
        <f aca="false">100*U9/$U$36</f>
        <v>3.48196522512922</v>
      </c>
      <c r="W9" s="2" t="n">
        <f aca="false">H9+F9+B9+D9+K9+P9</f>
        <v>2686.9</v>
      </c>
      <c r="X9" s="2" t="n">
        <f aca="false">W9/U9</f>
        <v>5.30002367050655</v>
      </c>
      <c r="Y9" s="27" t="n">
        <f aca="false">F9</f>
        <v>61.1</v>
      </c>
      <c r="Z9" s="1" t="n">
        <f aca="false">-Y9+($V$45 + $V$46)*1000*V9/100</f>
        <v>1497.98823116908</v>
      </c>
      <c r="AA9" s="1" t="n">
        <f aca="false">Z9/U9/10</f>
        <v>0.295484501966444</v>
      </c>
      <c r="AB9" s="1" t="n">
        <f aca="false">Z9/U9</f>
        <v>2.95484501966444</v>
      </c>
      <c r="AD9" s="1" t="n">
        <f aca="false">-V9*($V$47)*10</f>
        <v>-835.671654031012</v>
      </c>
      <c r="AE9" s="1" t="n">
        <f aca="false">AD9/U9/10</f>
        <v>-0.16483976132851</v>
      </c>
      <c r="AH9" s="1" t="n">
        <v>642</v>
      </c>
      <c r="AM9" s="1" t="s">
        <v>43</v>
      </c>
      <c r="AN9" s="1" t="n">
        <v>1</v>
      </c>
      <c r="AO9" s="1" t="n">
        <v>10</v>
      </c>
      <c r="AP9" s="1" t="n">
        <f aca="false">AN9+AO9/100</f>
        <v>1.1</v>
      </c>
      <c r="AQ9" s="1" t="n">
        <f aca="false">AP9*1000</f>
        <v>1100</v>
      </c>
      <c r="AT9" s="22" t="s">
        <v>44</v>
      </c>
      <c r="AU9" s="1" t="n">
        <v>9</v>
      </c>
      <c r="AV9" s="1" t="n">
        <v>8</v>
      </c>
      <c r="AW9" s="22" t="n">
        <f aca="false">AU9+AV9/10</f>
        <v>9.8</v>
      </c>
      <c r="AX9" s="22" t="n">
        <f aca="false">1000*AW9</f>
        <v>9800</v>
      </c>
    </row>
    <row r="10" customFormat="false" ht="15" hidden="false" customHeight="true" outlineLevel="0" collapsed="false">
      <c r="A10" s="18" t="s">
        <v>45</v>
      </c>
      <c r="B10" s="19" t="n">
        <v>38</v>
      </c>
      <c r="C10" s="19" t="n">
        <f aca="false">1000*B10/$U10</f>
        <v>726.008291778911</v>
      </c>
      <c r="D10" s="20" t="n">
        <v>18</v>
      </c>
      <c r="E10" s="19" t="n">
        <f aca="false">1000*D10/$U10</f>
        <v>343.898664526853</v>
      </c>
      <c r="F10" s="21" t="n">
        <v>0.2</v>
      </c>
      <c r="G10" s="19" t="n">
        <f aca="false">1000*F10/$U10</f>
        <v>3.82109627252059</v>
      </c>
      <c r="H10" s="19" t="n">
        <v>40</v>
      </c>
      <c r="I10" s="19" t="n">
        <f aca="false">1000*H10/$U10</f>
        <v>764.219254504117</v>
      </c>
      <c r="J10" s="1" t="n">
        <v>0.4</v>
      </c>
      <c r="K10" s="1" t="n">
        <f aca="false">L10*$K$37/100</f>
        <v>45.9</v>
      </c>
      <c r="L10" s="1" t="n">
        <v>270</v>
      </c>
      <c r="M10" s="19" t="n">
        <f aca="false">1000*L10/$U10</f>
        <v>5158.47996790279</v>
      </c>
      <c r="N10" s="1" t="n">
        <v>1.6</v>
      </c>
      <c r="O10" s="1" t="n">
        <v>0.5</v>
      </c>
      <c r="P10" s="1" t="n">
        <f aca="false">Q10*$P$37/100</f>
        <v>217.6</v>
      </c>
      <c r="Q10" s="1" t="n">
        <v>1600</v>
      </c>
      <c r="R10" s="19" t="n">
        <f aca="false">1000*P10/$U10</f>
        <v>4157.3527445024</v>
      </c>
      <c r="S10" s="1" t="n">
        <v>0.6</v>
      </c>
      <c r="T10" s="1" t="n">
        <v>0.88</v>
      </c>
      <c r="U10" s="1" t="n">
        <v>52.341</v>
      </c>
      <c r="V10" s="1" t="n">
        <f aca="false">100*U10/$U$36</f>
        <v>0.359494914487313</v>
      </c>
      <c r="W10" s="2" t="n">
        <f aca="false">H10+F10+B10+D10+K10+P10</f>
        <v>359.7</v>
      </c>
      <c r="X10" s="2" t="n">
        <f aca="false">W10/U10</f>
        <v>6.87224164612827</v>
      </c>
      <c r="Z10" s="1" t="n">
        <f aca="false">-Y10+($V$45 + $V$46)*1000*V10/100</f>
        <v>160.967802405754</v>
      </c>
      <c r="AA10" s="1" t="n">
        <f aca="false">Z10/U10/10</f>
        <v>0.307536734884228</v>
      </c>
      <c r="AB10" s="1" t="n">
        <f aca="false">Z10/U10</f>
        <v>3.07536734884228</v>
      </c>
      <c r="AD10" s="1" t="n">
        <f aca="false">-V10*($V$47)*10</f>
        <v>-86.2787794769552</v>
      </c>
      <c r="AE10" s="1" t="n">
        <f aca="false">AD10/U10/10</f>
        <v>-0.16483976132851</v>
      </c>
      <c r="AH10" s="1" t="n">
        <v>116</v>
      </c>
      <c r="AM10" s="1" t="s">
        <v>46</v>
      </c>
      <c r="AN10" s="1" t="n">
        <v>0</v>
      </c>
      <c r="AO10" s="1" t="n">
        <v>27</v>
      </c>
      <c r="AP10" s="1" t="n">
        <f aca="false">AN10+AO10/100</f>
        <v>0.27</v>
      </c>
      <c r="AQ10" s="1" t="n">
        <f aca="false">AP10*1000</f>
        <v>270</v>
      </c>
      <c r="AT10" s="22" t="s">
        <v>45</v>
      </c>
      <c r="AU10" s="1" t="n">
        <v>1</v>
      </c>
      <c r="AV10" s="1" t="n">
        <v>6</v>
      </c>
      <c r="AW10" s="22" t="n">
        <f aca="false">AU10+AV10/10</f>
        <v>1.6</v>
      </c>
      <c r="AX10" s="22" t="n">
        <f aca="false">1000*AW10</f>
        <v>1600</v>
      </c>
    </row>
    <row r="11" customFormat="false" ht="15" hidden="false" customHeight="true" outlineLevel="0" collapsed="false">
      <c r="A11" s="23" t="s">
        <v>47</v>
      </c>
      <c r="B11" s="24" t="n">
        <v>46</v>
      </c>
      <c r="C11" s="19" t="n">
        <f aca="false">1000*B11/$U11</f>
        <v>786.755148115208</v>
      </c>
      <c r="D11" s="25" t="n">
        <v>26</v>
      </c>
      <c r="E11" s="19" t="n">
        <f aca="false">1000*D11/$U11</f>
        <v>444.687692412944</v>
      </c>
      <c r="F11" s="26" t="n">
        <v>0.3</v>
      </c>
      <c r="G11" s="19" t="n">
        <f aca="false">1000*F11/$U11</f>
        <v>5.13101183553397</v>
      </c>
      <c r="H11" s="24" t="n">
        <v>36</v>
      </c>
      <c r="I11" s="19" t="n">
        <f aca="false">1000*H11/$U11</f>
        <v>615.721420264076</v>
      </c>
      <c r="J11" s="1" t="n">
        <v>0.39</v>
      </c>
      <c r="K11" s="1" t="n">
        <f aca="false">L11*$K$37/100</f>
        <v>64.6</v>
      </c>
      <c r="L11" s="1" t="n">
        <v>380</v>
      </c>
      <c r="M11" s="19" t="n">
        <f aca="false">1000*L11/$U11</f>
        <v>6499.28165834303</v>
      </c>
      <c r="N11" s="1" t="n">
        <v>2.3</v>
      </c>
      <c r="O11" s="1" t="n">
        <v>0.8</v>
      </c>
      <c r="P11" s="1" t="n">
        <f aca="false">Q11*$P$37/100</f>
        <v>312.8</v>
      </c>
      <c r="Q11" s="1" t="n">
        <v>2300</v>
      </c>
      <c r="R11" s="19" t="n">
        <f aca="false">1000*P11/$U11</f>
        <v>5349.93500718342</v>
      </c>
      <c r="S11" s="1" t="n">
        <v>0.5</v>
      </c>
      <c r="T11" s="1" t="n">
        <v>1.55</v>
      </c>
      <c r="U11" s="1" t="n">
        <v>58.468</v>
      </c>
      <c r="V11" s="1" t="n">
        <f aca="false">100*U11/$U$36</f>
        <v>0.401577131889804</v>
      </c>
      <c r="W11" s="2" t="n">
        <f aca="false">H11+F11+B11+D11+K11+P11</f>
        <v>485.7</v>
      </c>
      <c r="X11" s="2" t="n">
        <f aca="false">W11/U11</f>
        <v>8.30710816172949</v>
      </c>
      <c r="Z11" s="1" t="n">
        <f aca="false">-Y11+($V$45 + $V$46)*1000*V11/100</f>
        <v>179.81057815211</v>
      </c>
      <c r="AA11" s="1" t="n">
        <f aca="false">Z11/U11/10</f>
        <v>0.307536734884228</v>
      </c>
      <c r="AB11" s="1" t="n">
        <f aca="false">ROUND(Z11/U11 *100/1000, 2)</f>
        <v>0.31</v>
      </c>
      <c r="AD11" s="1" t="n">
        <f aca="false">-V11*($V$47)*10</f>
        <v>-96.378511653553</v>
      </c>
      <c r="AE11" s="1" t="n">
        <f aca="false">AD11/U11/10</f>
        <v>-0.16483976132851</v>
      </c>
      <c r="AH11" s="1" t="n">
        <v>93</v>
      </c>
      <c r="AM11" s="1" t="s">
        <v>48</v>
      </c>
      <c r="AN11" s="1" t="n">
        <v>0</v>
      </c>
      <c r="AO11" s="1" t="n">
        <v>38</v>
      </c>
      <c r="AP11" s="1" t="n">
        <f aca="false">AN11+AO11/100</f>
        <v>0.38</v>
      </c>
      <c r="AQ11" s="1" t="n">
        <f aca="false">AP11*1000</f>
        <v>380</v>
      </c>
      <c r="AT11" s="22" t="s">
        <v>47</v>
      </c>
      <c r="AU11" s="1" t="n">
        <v>2</v>
      </c>
      <c r="AV11" s="1" t="n">
        <v>3</v>
      </c>
      <c r="AW11" s="22" t="n">
        <f aca="false">AU11+AV11/10</f>
        <v>2.3</v>
      </c>
      <c r="AX11" s="22" t="n">
        <f aca="false">1000*AW11</f>
        <v>2300</v>
      </c>
    </row>
    <row r="12" customFormat="false" ht="15" hidden="false" customHeight="true" outlineLevel="0" collapsed="false">
      <c r="A12" s="18" t="s">
        <v>49</v>
      </c>
      <c r="B12" s="19" t="n">
        <v>16</v>
      </c>
      <c r="C12" s="19" t="n">
        <f aca="false">1000*B12/$U12</f>
        <v>727.603456116417</v>
      </c>
      <c r="D12" s="28"/>
      <c r="E12" s="19" t="n">
        <f aca="false">1000*D12/$U12</f>
        <v>0</v>
      </c>
      <c r="F12" s="21" t="n">
        <v>0.8</v>
      </c>
      <c r="G12" s="19" t="n">
        <f aca="false">1000*F12/$U12</f>
        <v>36.3801728058208</v>
      </c>
      <c r="H12" s="19" t="n">
        <v>46</v>
      </c>
      <c r="I12" s="19" t="n">
        <f aca="false">1000*H12/$U12</f>
        <v>2091.8599363347</v>
      </c>
      <c r="J12" s="1" t="n">
        <v>0.8</v>
      </c>
      <c r="K12" s="1" t="n">
        <f aca="false">L12*$K$37/100</f>
        <v>49.3</v>
      </c>
      <c r="L12" s="1" t="n">
        <v>290</v>
      </c>
      <c r="M12" s="19" t="n">
        <f aca="false">1000*L12/$U12</f>
        <v>13187.8126421101</v>
      </c>
      <c r="N12" s="1" t="n">
        <v>1.5</v>
      </c>
      <c r="O12" s="1" t="n">
        <v>0.5</v>
      </c>
      <c r="P12" s="1" t="n">
        <f aca="false">Q12*$P$37/100</f>
        <v>204</v>
      </c>
      <c r="Q12" s="1" t="n">
        <v>1500</v>
      </c>
      <c r="R12" s="19" t="n">
        <f aca="false">1000*P12/$U12</f>
        <v>9276.94406548431</v>
      </c>
      <c r="S12" s="1" t="n">
        <v>0.2</v>
      </c>
      <c r="T12" s="1" t="n">
        <v>2.44</v>
      </c>
      <c r="U12" s="1" t="n">
        <v>21.99</v>
      </c>
      <c r="V12" s="1" t="n">
        <f aca="false">100*U12/$U$36</f>
        <v>0.151034431317247</v>
      </c>
      <c r="W12" s="2" t="n">
        <f aca="false">H12+F12+B12+D12+K12+P12</f>
        <v>316.1</v>
      </c>
      <c r="X12" s="2" t="n">
        <f aca="false">W12/U12</f>
        <v>14.3747157799</v>
      </c>
      <c r="Z12" s="1" t="n">
        <f aca="false">-Y12+($V$45 + $V$46)*1000*V12/100</f>
        <v>67.6273280010418</v>
      </c>
      <c r="AA12" s="1" t="n">
        <f aca="false">Z12/U12/10</f>
        <v>0.307536734884228</v>
      </c>
      <c r="AB12" s="1" t="n">
        <f aca="false">ROUND(Z12/U12 *100/1000, 2)</f>
        <v>0.31</v>
      </c>
      <c r="AD12" s="1" t="n">
        <f aca="false">-V12*($V$47)*10</f>
        <v>-36.2482635161393</v>
      </c>
      <c r="AE12" s="1" t="n">
        <f aca="false">AD12/U12/10</f>
        <v>-0.16483976132851</v>
      </c>
      <c r="AH12" s="1" t="n">
        <v>36.5</v>
      </c>
      <c r="AM12" s="1" t="s">
        <v>50</v>
      </c>
      <c r="AN12" s="1" t="n">
        <v>0</v>
      </c>
      <c r="AO12" s="1" t="n">
        <v>29</v>
      </c>
      <c r="AP12" s="1" t="n">
        <f aca="false">AN12+AO12/100</f>
        <v>0.29</v>
      </c>
      <c r="AQ12" s="1" t="n">
        <f aca="false">AP12*1000</f>
        <v>290</v>
      </c>
      <c r="AT12" s="22" t="s">
        <v>49</v>
      </c>
      <c r="AU12" s="1" t="n">
        <v>1</v>
      </c>
      <c r="AV12" s="1" t="n">
        <v>5</v>
      </c>
      <c r="AW12" s="22" t="n">
        <f aca="false">AU12+AV12/10</f>
        <v>1.5</v>
      </c>
      <c r="AX12" s="22" t="n">
        <f aca="false">1000*AW12</f>
        <v>1500</v>
      </c>
    </row>
    <row r="13" customFormat="false" ht="15" hidden="false" customHeight="true" outlineLevel="0" collapsed="false">
      <c r="A13" s="23" t="s">
        <v>51</v>
      </c>
      <c r="B13" s="24" t="n">
        <v>177</v>
      </c>
      <c r="C13" s="19" t="n">
        <f aca="false">1000*B13/$U13</f>
        <v>777.772407095745</v>
      </c>
      <c r="D13" s="25" t="n">
        <v>263</v>
      </c>
      <c r="E13" s="19" t="n">
        <f aca="false">1000*D13/$U13</f>
        <v>1155.67312466769</v>
      </c>
      <c r="F13" s="26" t="n">
        <v>3.8</v>
      </c>
      <c r="G13" s="19" t="n">
        <f aca="false">1000*F13/$U13</f>
        <v>16.6979386834115</v>
      </c>
      <c r="H13" s="24" t="n">
        <v>348</v>
      </c>
      <c r="I13" s="19" t="n">
        <f aca="false">1000*H13/$U13</f>
        <v>1529.17964784926</v>
      </c>
      <c r="J13" s="1" t="n">
        <v>0.69</v>
      </c>
      <c r="K13" s="1" t="n">
        <f aca="false">L13*$K$37/100</f>
        <v>74.8</v>
      </c>
      <c r="L13" s="1" t="n">
        <v>440</v>
      </c>
      <c r="M13" s="19" t="n">
        <f aca="false">1000*L13/$U13</f>
        <v>1933.44553176343</v>
      </c>
      <c r="N13" s="1" t="n">
        <v>4.6</v>
      </c>
      <c r="O13" s="1" t="n">
        <v>1.5</v>
      </c>
      <c r="P13" s="1" t="n">
        <f aca="false">Q13*$P$37/100</f>
        <v>625.6</v>
      </c>
      <c r="Q13" s="1" t="n">
        <v>4600</v>
      </c>
      <c r="R13" s="19" t="n">
        <f aca="false">1000*P13/$U13</f>
        <v>2749.00801061637</v>
      </c>
      <c r="S13" s="1" t="n">
        <v>2</v>
      </c>
      <c r="T13" s="1" t="n">
        <v>0.77</v>
      </c>
      <c r="U13" s="1" t="n">
        <v>227.573</v>
      </c>
      <c r="V13" s="1" t="n">
        <f aca="false">100*U13/$U$36</f>
        <v>1.56304495853387</v>
      </c>
      <c r="W13" s="2" t="n">
        <f aca="false">H13+F13+B13+D13+K13+P13</f>
        <v>1492.2</v>
      </c>
      <c r="X13" s="2" t="n">
        <f aca="false">W13/U13</f>
        <v>6.55701686931226</v>
      </c>
      <c r="Z13" s="1" t="n">
        <f aca="false">-Y13+($V$45 + $V$46)*1000*V13/100</f>
        <v>699.870573678084</v>
      </c>
      <c r="AA13" s="1" t="n">
        <f aca="false">Z13/U13/10</f>
        <v>0.307536734884228</v>
      </c>
      <c r="AB13" s="1" t="n">
        <f aca="false">ROUND(Z13/U13 *100/1000, 2)</f>
        <v>0.31</v>
      </c>
      <c r="AD13" s="1" t="n">
        <f aca="false">-V13*($V$47)*10</f>
        <v>-375.130790048129</v>
      </c>
      <c r="AE13" s="1" t="n">
        <f aca="false">AD13/U13/10</f>
        <v>-0.16483976132851</v>
      </c>
      <c r="AH13" s="1" t="n">
        <v>347.3</v>
      </c>
      <c r="AM13" s="1" t="s">
        <v>52</v>
      </c>
      <c r="AN13" s="1" t="n">
        <v>0</v>
      </c>
      <c r="AO13" s="1" t="n">
        <v>44</v>
      </c>
      <c r="AP13" s="1" t="n">
        <f aca="false">AN13+AO13/100</f>
        <v>0.44</v>
      </c>
      <c r="AQ13" s="1" t="n">
        <f aca="false">AP13*1000</f>
        <v>440</v>
      </c>
      <c r="AT13" s="22" t="s">
        <v>53</v>
      </c>
      <c r="AU13" s="1" t="n">
        <v>4</v>
      </c>
      <c r="AV13" s="1" t="n">
        <v>6</v>
      </c>
      <c r="AW13" s="22" t="n">
        <f aca="false">AU13+AV13/10</f>
        <v>4.6</v>
      </c>
      <c r="AX13" s="22" t="n">
        <f aca="false">1000*AW13</f>
        <v>4600</v>
      </c>
    </row>
    <row r="14" customFormat="false" ht="15" hidden="false" customHeight="true" outlineLevel="0" collapsed="false">
      <c r="A14" s="18" t="s">
        <v>54</v>
      </c>
      <c r="B14" s="19" t="n">
        <v>106</v>
      </c>
      <c r="C14" s="19" t="n">
        <f aca="false">1000*B14/$U14</f>
        <v>304.277684963515</v>
      </c>
      <c r="D14" s="20" t="n">
        <v>258</v>
      </c>
      <c r="E14" s="19" t="n">
        <f aca="false">1000*D14/$U14</f>
        <v>740.600403024405</v>
      </c>
      <c r="F14" s="21" t="n">
        <v>113.8</v>
      </c>
      <c r="G14" s="19" t="n">
        <f aca="false">1000*F14/$U14</f>
        <v>326.667929706114</v>
      </c>
      <c r="H14" s="19" t="n">
        <v>533</v>
      </c>
      <c r="I14" s="19" t="n">
        <f aca="false">1000*H14/$U14</f>
        <v>1530.00005741088</v>
      </c>
      <c r="J14" s="1" t="n">
        <v>1.85</v>
      </c>
      <c r="K14" s="1" t="n">
        <f aca="false">L14*$K$37/100</f>
        <v>192.1</v>
      </c>
      <c r="L14" s="1" t="n">
        <v>1130</v>
      </c>
      <c r="M14" s="19" t="n">
        <f aca="false">1000*L14/$U14</f>
        <v>3243.71494347899</v>
      </c>
      <c r="N14" s="1" t="n">
        <v>4.2</v>
      </c>
      <c r="O14" s="1" t="n">
        <v>1.4</v>
      </c>
      <c r="P14" s="1" t="n">
        <f aca="false">Q14*$P$37/100</f>
        <v>571.2</v>
      </c>
      <c r="Q14" s="1" t="n">
        <v>4200</v>
      </c>
      <c r="R14" s="19" t="n">
        <f aca="false">1000*P14/$U14</f>
        <v>1639.65484576566</v>
      </c>
      <c r="S14" s="1" t="n">
        <v>2.3</v>
      </c>
      <c r="T14" s="1" t="n">
        <v>0.62</v>
      </c>
      <c r="U14" s="1" t="n">
        <v>348.366</v>
      </c>
      <c r="V14" s="1" t="n">
        <f aca="false">100*U14/$U$36</f>
        <v>2.39269034562365</v>
      </c>
      <c r="W14" s="2" t="n">
        <f aca="false">H14+F14+B14+D14+K14+P14</f>
        <v>1774.1</v>
      </c>
      <c r="X14" s="2" t="n">
        <f aca="false">W14/U14</f>
        <v>5.09263246126201</v>
      </c>
      <c r="Z14" s="1" t="n">
        <f aca="false">-Y14+($V$45 + $V$46)*1000*V14/100</f>
        <v>1071.35342184679</v>
      </c>
      <c r="AA14" s="1" t="n">
        <f aca="false">Z14/U14/10</f>
        <v>0.307536734884228</v>
      </c>
      <c r="AB14" s="1" t="n">
        <f aca="false">ROUND(Z14/U14 *100/1000, 2)</f>
        <v>0.31</v>
      </c>
      <c r="AD14" s="1" t="n">
        <f aca="false">-V14*($V$47)*10</f>
        <v>-574.245682949676</v>
      </c>
      <c r="AE14" s="1" t="n">
        <f aca="false">AD14/U14/10</f>
        <v>-0.16483976132851</v>
      </c>
      <c r="AH14" s="1" t="n">
        <v>417.8</v>
      </c>
      <c r="AM14" s="1" t="s">
        <v>55</v>
      </c>
      <c r="AN14" s="1" t="n">
        <v>1</v>
      </c>
      <c r="AO14" s="1" t="n">
        <v>13</v>
      </c>
      <c r="AP14" s="1" t="n">
        <f aca="false">AN14+AO14/100</f>
        <v>1.13</v>
      </c>
      <c r="AQ14" s="1" t="n">
        <f aca="false">AP14*1000</f>
        <v>1130</v>
      </c>
      <c r="AT14" s="22" t="s">
        <v>56</v>
      </c>
      <c r="AU14" s="1" t="n">
        <v>4</v>
      </c>
      <c r="AV14" s="1" t="n">
        <v>2</v>
      </c>
      <c r="AW14" s="22" t="n">
        <f aca="false">AU14+AV14/10</f>
        <v>4.2</v>
      </c>
      <c r="AX14" s="22" t="n">
        <f aca="false">1000*AW14</f>
        <v>4200</v>
      </c>
    </row>
    <row r="15" customFormat="false" ht="15" hidden="false" customHeight="true" outlineLevel="0" collapsed="false">
      <c r="A15" s="23" t="s">
        <v>57</v>
      </c>
      <c r="B15" s="24" t="n">
        <v>23</v>
      </c>
      <c r="C15" s="19" t="n">
        <f aca="false">1000*B15/$U15</f>
        <v>744.360658921001</v>
      </c>
      <c r="D15" s="25" t="n">
        <v>21</v>
      </c>
      <c r="E15" s="19" t="n">
        <f aca="false">1000*D15/$U15</f>
        <v>679.633645101783</v>
      </c>
      <c r="F15" s="26" t="n">
        <v>0.1</v>
      </c>
      <c r="G15" s="19" t="n">
        <f aca="false">1000*F15/$U15</f>
        <v>3.23635069096087</v>
      </c>
      <c r="H15" s="24" t="n">
        <v>29</v>
      </c>
      <c r="I15" s="19" t="n">
        <f aca="false">1000*H15/$U15</f>
        <v>938.541700378653</v>
      </c>
      <c r="J15" s="1" t="n">
        <v>0.1</v>
      </c>
      <c r="K15" s="1" t="n">
        <f aca="false">L15*$K$37/100</f>
        <v>153</v>
      </c>
      <c r="L15" s="1" t="n">
        <v>900</v>
      </c>
      <c r="M15" s="19" t="n">
        <f aca="false">1000*L15/$U15</f>
        <v>29127.1562186479</v>
      </c>
      <c r="N15" s="1" t="n">
        <v>0.5</v>
      </c>
      <c r="O15" s="1" t="n">
        <v>0.2</v>
      </c>
      <c r="P15" s="1" t="n">
        <f aca="false">Q15*$P$37/100</f>
        <v>68</v>
      </c>
      <c r="Q15" s="1" t="n">
        <v>500</v>
      </c>
      <c r="R15" s="19" t="n">
        <f aca="false">1000*P15/$U15</f>
        <v>2200.71846985339</v>
      </c>
      <c r="S15" s="1" t="n">
        <v>0.2</v>
      </c>
      <c r="T15" s="1" t="n">
        <v>0.91</v>
      </c>
      <c r="U15" s="1" t="n">
        <v>30.899</v>
      </c>
      <c r="V15" s="1" t="n">
        <f aca="false">100*U15/$U$36</f>
        <v>0.212224324387067</v>
      </c>
      <c r="W15" s="2" t="n">
        <f aca="false">H15+F15+B15+D15+K15+P15</f>
        <v>294.1</v>
      </c>
      <c r="X15" s="2" t="n">
        <f aca="false">W15/U15</f>
        <v>9.51810738211593</v>
      </c>
      <c r="Z15" s="1" t="n">
        <f aca="false">-Y15+($V$45 + $V$46)*1000*V15/100</f>
        <v>95.0257757118776</v>
      </c>
      <c r="AA15" s="1" t="n">
        <f aca="false">Z15/U15/10</f>
        <v>0.307536734884228</v>
      </c>
      <c r="AB15" s="1" t="n">
        <f aca="false">ROUND(Z15/U15 *100/1000, 2)</f>
        <v>0.31</v>
      </c>
      <c r="AD15" s="1" t="n">
        <f aca="false">-V15*($V$47)*10</f>
        <v>-50.9338378528962</v>
      </c>
      <c r="AE15" s="1" t="n">
        <f aca="false">AD15/U15/10</f>
        <v>-0.16483976132851</v>
      </c>
      <c r="AH15" s="1" t="n">
        <v>41.9</v>
      </c>
      <c r="AM15" s="1" t="s">
        <v>58</v>
      </c>
      <c r="AN15" s="1" t="n">
        <v>0</v>
      </c>
      <c r="AO15" s="1" t="n">
        <v>90</v>
      </c>
      <c r="AP15" s="1" t="n">
        <f aca="false">AN15+AO15/100</f>
        <v>0.9</v>
      </c>
      <c r="AQ15" s="1" t="n">
        <f aca="false">AP15*1000</f>
        <v>900</v>
      </c>
      <c r="AT15" s="22" t="s">
        <v>57</v>
      </c>
      <c r="AU15" s="1" t="n">
        <v>0</v>
      </c>
      <c r="AV15" s="1" t="n">
        <v>5</v>
      </c>
      <c r="AW15" s="22" t="n">
        <f aca="false">AU15+AV15/10</f>
        <v>0.5</v>
      </c>
      <c r="AX15" s="22" t="n">
        <f aca="false">1000*AW15</f>
        <v>500</v>
      </c>
    </row>
    <row r="16" customFormat="false" ht="15" hidden="false" customHeight="true" outlineLevel="0" collapsed="false">
      <c r="A16" s="18" t="s">
        <v>59</v>
      </c>
      <c r="B16" s="19" t="n">
        <v>97</v>
      </c>
      <c r="C16" s="19" t="n">
        <f aca="false">1000*B16/$U16</f>
        <v>379.785988637743</v>
      </c>
      <c r="D16" s="20" t="n">
        <v>133</v>
      </c>
      <c r="E16" s="19" t="n">
        <f aca="false">1000*D16/$U16</f>
        <v>520.737489575462</v>
      </c>
      <c r="F16" s="21" t="n">
        <v>81.3</v>
      </c>
      <c r="G16" s="19" t="n">
        <f aca="false">1000*F16/$U16</f>
        <v>318.315472951015</v>
      </c>
      <c r="H16" s="19" t="n">
        <v>152</v>
      </c>
      <c r="I16" s="19" t="n">
        <f aca="false">1000*H16/$U16</f>
        <v>595.128559514814</v>
      </c>
      <c r="J16" s="1" t="n">
        <v>1.57</v>
      </c>
      <c r="K16" s="1" t="n">
        <f aca="false">L16*$K$37/100</f>
        <v>122.4</v>
      </c>
      <c r="L16" s="1" t="n">
        <v>720</v>
      </c>
      <c r="M16" s="19" t="n">
        <f aca="false">1000*L16/$U16</f>
        <v>2819.03001875438</v>
      </c>
      <c r="N16" s="1" t="n">
        <v>2.9</v>
      </c>
      <c r="O16" s="1" t="n">
        <v>1</v>
      </c>
      <c r="P16" s="1" t="n">
        <f aca="false">Q16*$P$37/100</f>
        <v>394.4</v>
      </c>
      <c r="Q16" s="1" t="n">
        <v>2900</v>
      </c>
      <c r="R16" s="19" t="n">
        <f aca="false">1000*P16/$U16</f>
        <v>1544.20199916212</v>
      </c>
      <c r="S16" s="1" t="n">
        <v>1.6</v>
      </c>
      <c r="T16" s="1" t="n">
        <v>0.61</v>
      </c>
      <c r="U16" s="1" t="n">
        <v>255.407</v>
      </c>
      <c r="V16" s="1" t="n">
        <f aca="false">100*U16/$U$36</f>
        <v>1.75421787173461</v>
      </c>
      <c r="W16" s="2" t="n">
        <f aca="false">H16+F16+B16+D16+K16+P16</f>
        <v>980.1</v>
      </c>
      <c r="X16" s="2" t="n">
        <f aca="false">W16/U16</f>
        <v>3.8374046130294</v>
      </c>
      <c r="Z16" s="1" t="n">
        <f aca="false">-Y16+($V$45 + $V$46)*1000*V16/100</f>
        <v>785.470348465761</v>
      </c>
      <c r="AA16" s="1" t="n">
        <f aca="false">Z16/U16/10</f>
        <v>0.307536734884228</v>
      </c>
      <c r="AB16" s="1" t="n">
        <f aca="false">ROUND(Z16/U16 *100/1000, 2)</f>
        <v>0.31</v>
      </c>
      <c r="AD16" s="1" t="n">
        <f aca="false">-V16*($V$47)*10</f>
        <v>-421.012289216306</v>
      </c>
      <c r="AE16" s="1" t="n">
        <f aca="false">AD16/U16/10</f>
        <v>-0.16483976132851</v>
      </c>
      <c r="AH16" s="1" t="n">
        <v>281.7</v>
      </c>
      <c r="AM16" s="1" t="s">
        <v>60</v>
      </c>
      <c r="AN16" s="1" t="n">
        <v>0</v>
      </c>
      <c r="AO16" s="1" t="n">
        <v>72</v>
      </c>
      <c r="AP16" s="1" t="n">
        <f aca="false">AN16+AO16/100</f>
        <v>0.72</v>
      </c>
      <c r="AQ16" s="1" t="n">
        <f aca="false">AP16*1000</f>
        <v>720</v>
      </c>
      <c r="AT16" s="22" t="s">
        <v>59</v>
      </c>
      <c r="AU16" s="1" t="n">
        <v>2</v>
      </c>
      <c r="AV16" s="1" t="n">
        <v>9</v>
      </c>
      <c r="AW16" s="22" t="n">
        <f aca="false">AU16+AV16/10</f>
        <v>2.9</v>
      </c>
      <c r="AX16" s="22" t="n">
        <f aca="false">1000*AW16</f>
        <v>2900</v>
      </c>
    </row>
    <row r="17" customFormat="false" ht="15" hidden="false" customHeight="true" outlineLevel="0" collapsed="false">
      <c r="A17" s="23" t="s">
        <v>61</v>
      </c>
      <c r="B17" s="24" t="n">
        <v>1078</v>
      </c>
      <c r="C17" s="19" t="n">
        <f aca="false">1000*B17/$U17</f>
        <v>418.692157950257</v>
      </c>
      <c r="D17" s="25" t="n">
        <v>1691</v>
      </c>
      <c r="E17" s="19" t="n">
        <f aca="false">1000*D17/$U17</f>
        <v>656.779628101934</v>
      </c>
      <c r="F17" s="24" t="n">
        <v>3100</v>
      </c>
      <c r="G17" s="19" t="n">
        <f aca="false">1000*F17/$U17</f>
        <v>1204.03125199054</v>
      </c>
      <c r="H17" s="24" t="n">
        <v>6670</v>
      </c>
      <c r="I17" s="19" t="n">
        <f aca="false">1000*H17/$U17</f>
        <v>2590.60917766996</v>
      </c>
      <c r="J17" s="1" t="n">
        <v>17.13</v>
      </c>
      <c r="K17" s="1" t="n">
        <f aca="false">L17*$K$37/100</f>
        <v>914.6</v>
      </c>
      <c r="L17" s="1" t="n">
        <v>5380</v>
      </c>
      <c r="M17" s="19" t="n">
        <f aca="false">1000*L17/$U17</f>
        <v>2089.57681797067</v>
      </c>
      <c r="N17" s="1" t="n">
        <v>62</v>
      </c>
      <c r="O17" s="1" t="n">
        <v>20.7</v>
      </c>
      <c r="P17" s="1" t="n">
        <f aca="false">Q17*$P$37/100</f>
        <v>8432</v>
      </c>
      <c r="Q17" s="1" t="n">
        <v>62000</v>
      </c>
      <c r="R17" s="19" t="n">
        <f aca="false">1000*P17/$U17</f>
        <v>3274.96500541426</v>
      </c>
      <c r="S17" s="1" t="n">
        <v>16.3</v>
      </c>
      <c r="T17" s="1" t="n">
        <v>1.27</v>
      </c>
      <c r="U17" s="1" t="n">
        <v>2574.684</v>
      </c>
      <c r="V17" s="1" t="n">
        <f aca="false">100*U17/$U$36</f>
        <v>17.6837623356805</v>
      </c>
      <c r="W17" s="2" t="n">
        <f aca="false">H17+F17+B17+D17+K17+P17</f>
        <v>21885.6</v>
      </c>
      <c r="X17" s="2" t="n">
        <f aca="false">W17/U17</f>
        <v>8.50030528018196</v>
      </c>
      <c r="Y17" s="2" t="n">
        <f aca="false">B17+F17</f>
        <v>4178</v>
      </c>
      <c r="Z17" s="1" t="n">
        <f aca="false">-Y17+($V$45 + $V$46)*1000*V17/100</f>
        <v>3740.09910718664</v>
      </c>
      <c r="AA17" s="1" t="n">
        <f aca="false">Z17/U17/10</f>
        <v>0.145264393890149</v>
      </c>
      <c r="AB17" s="1" t="n">
        <f aca="false">ROUND(Z17/U17 *100/1000, 2)</f>
        <v>0.15</v>
      </c>
      <c r="AD17" s="1" t="n">
        <f aca="false">-V17*($V$47)*10</f>
        <v>-4244.10296056332</v>
      </c>
      <c r="AE17" s="1" t="n">
        <f aca="false">AD17/U17/10</f>
        <v>-0.16483976132851</v>
      </c>
      <c r="AH17" s="1" t="n">
        <v>2991.1</v>
      </c>
      <c r="AM17" s="1" t="s">
        <v>62</v>
      </c>
      <c r="AN17" s="1" t="n">
        <v>5</v>
      </c>
      <c r="AO17" s="1" t="n">
        <v>38</v>
      </c>
      <c r="AP17" s="1" t="n">
        <f aca="false">AN17+AO17/100</f>
        <v>5.38</v>
      </c>
      <c r="AQ17" s="1" t="n">
        <f aca="false">AP17*1000</f>
        <v>5380</v>
      </c>
      <c r="AT17" s="22" t="s">
        <v>63</v>
      </c>
      <c r="AU17" s="1" t="n">
        <v>62</v>
      </c>
      <c r="AV17" s="1" t="n">
        <v>0</v>
      </c>
      <c r="AW17" s="22" t="n">
        <f aca="false">AU17+AV17/10</f>
        <v>62</v>
      </c>
      <c r="AX17" s="22" t="n">
        <f aca="false">1000*AW17</f>
        <v>62000</v>
      </c>
    </row>
    <row r="18" customFormat="false" ht="15" hidden="false" customHeight="true" outlineLevel="0" collapsed="false">
      <c r="A18" s="18" t="s">
        <v>64</v>
      </c>
      <c r="B18" s="19" t="n">
        <v>973</v>
      </c>
      <c r="C18" s="19" t="n">
        <f aca="false">1000*B18/$U18</f>
        <v>260.893020991029</v>
      </c>
      <c r="D18" s="29" t="n">
        <v>2700</v>
      </c>
      <c r="E18" s="19" t="n">
        <f aca="false">1000*D18/$U18</f>
        <v>723.958023305013</v>
      </c>
      <c r="F18" s="21" t="n">
        <v>1595.2</v>
      </c>
      <c r="G18" s="19" t="n">
        <f aca="false">1000*F18/$U18</f>
        <v>427.725125472651</v>
      </c>
      <c r="H18" s="19" t="n">
        <v>8344</v>
      </c>
      <c r="I18" s="19" t="n">
        <f aca="false">1000*H18/$U18</f>
        <v>2237.29842461372</v>
      </c>
      <c r="J18" s="1" t="n">
        <v>20.1</v>
      </c>
      <c r="K18" s="1" t="n">
        <f aca="false">L18*$K$37/100</f>
        <v>1088</v>
      </c>
      <c r="L18" s="1" t="n">
        <v>6400</v>
      </c>
      <c r="M18" s="19" t="n">
        <f aca="false">1000*L18/$U18</f>
        <v>1716.04864783411</v>
      </c>
      <c r="N18" s="1" t="n">
        <v>57.7</v>
      </c>
      <c r="O18" s="1" t="n">
        <v>19.3</v>
      </c>
      <c r="P18" s="1" t="n">
        <f aca="false">Q18*$P$37/100</f>
        <v>7847.2</v>
      </c>
      <c r="Q18" s="1" t="n">
        <v>57700</v>
      </c>
      <c r="R18" s="19" t="n">
        <f aca="false">1000*P18/$U18</f>
        <v>2104.09014832559</v>
      </c>
      <c r="S18" s="1" t="n">
        <v>24.5</v>
      </c>
      <c r="T18" s="1" t="n">
        <v>0.79</v>
      </c>
      <c r="U18" s="1" t="n">
        <v>3729.498</v>
      </c>
      <c r="V18" s="1" t="n">
        <f aca="false">100*U18/$U$36</f>
        <v>25.6153983414647</v>
      </c>
      <c r="W18" s="2" t="n">
        <f aca="false">H18+F18+B18+D18+K18+P18</f>
        <v>22547.4</v>
      </c>
      <c r="X18" s="2" t="n">
        <f aca="false">W18/U18</f>
        <v>6.0456930128398</v>
      </c>
      <c r="Z18" s="1" t="n">
        <f aca="false">-Y18+($V$45 + $V$46)*1000*V18/100</f>
        <v>11469.5763767726</v>
      </c>
      <c r="AA18" s="1" t="n">
        <f aca="false">Z18/U18/10</f>
        <v>0.307536734884228</v>
      </c>
      <c r="AB18" s="1" t="n">
        <f aca="false">ROUND(Z18/U18 *100/1000, 2)</f>
        <v>0.31</v>
      </c>
      <c r="AD18" s="1" t="n">
        <f aca="false">-V18*($V$47)*10</f>
        <v>-6147.69560195154</v>
      </c>
      <c r="AE18" s="1" t="n">
        <f aca="false">AD18/U18/10</f>
        <v>-0.16483976132851</v>
      </c>
      <c r="AH18" s="1" t="n">
        <v>4529.7</v>
      </c>
      <c r="AM18" s="1" t="s">
        <v>65</v>
      </c>
      <c r="AN18" s="1" t="n">
        <v>6</v>
      </c>
      <c r="AO18" s="1" t="n">
        <v>40</v>
      </c>
      <c r="AP18" s="1" t="n">
        <f aca="false">AN18+AO18/100</f>
        <v>6.4</v>
      </c>
      <c r="AQ18" s="1" t="n">
        <f aca="false">AP18*1000</f>
        <v>6400</v>
      </c>
      <c r="AT18" s="22" t="s">
        <v>66</v>
      </c>
      <c r="AU18" s="1" t="n">
        <v>57</v>
      </c>
      <c r="AV18" s="1" t="n">
        <v>7</v>
      </c>
      <c r="AW18" s="22" t="n">
        <f aca="false">AU18+AV18/10</f>
        <v>57.7</v>
      </c>
      <c r="AX18" s="22" t="n">
        <f aca="false">1000*AW18</f>
        <v>57700</v>
      </c>
    </row>
    <row r="19" customFormat="false" ht="15" hidden="false" customHeight="true" outlineLevel="0" collapsed="false">
      <c r="A19" s="23" t="s">
        <v>67</v>
      </c>
      <c r="B19" s="24" t="n">
        <v>91</v>
      </c>
      <c r="C19" s="19" t="n">
        <f aca="false">1000*B19/$U19</f>
        <v>503.093193867792</v>
      </c>
      <c r="D19" s="25" t="n">
        <v>54</v>
      </c>
      <c r="E19" s="19" t="n">
        <f aca="false">1000*D19/$U19</f>
        <v>298.538818339129</v>
      </c>
      <c r="F19" s="26" t="n">
        <v>22.7</v>
      </c>
      <c r="G19" s="19" t="n">
        <f aca="false">1000*F19/$U19</f>
        <v>125.496873635152</v>
      </c>
      <c r="H19" s="24" t="n">
        <v>118</v>
      </c>
      <c r="I19" s="19" t="n">
        <f aca="false">1000*H19/$U19</f>
        <v>652.362603037356</v>
      </c>
      <c r="J19" s="1" t="n">
        <v>3.09</v>
      </c>
      <c r="K19" s="1" t="n">
        <f aca="false">L19*$K$37/100</f>
        <v>431.8</v>
      </c>
      <c r="L19" s="1" t="n">
        <v>2540</v>
      </c>
      <c r="M19" s="19" t="n">
        <f aca="false">1000*L19/$U19</f>
        <v>14042.3814552109</v>
      </c>
      <c r="N19" s="1" t="n">
        <v>6.3</v>
      </c>
      <c r="O19" s="1" t="n">
        <v>2.1</v>
      </c>
      <c r="P19" s="1" t="n">
        <f aca="false">Q19*$P$37/100</f>
        <v>856.8</v>
      </c>
      <c r="Q19" s="1" t="n">
        <v>6300</v>
      </c>
      <c r="R19" s="19" t="n">
        <f aca="false">1000*P19/$U19</f>
        <v>4736.81591764751</v>
      </c>
      <c r="S19" s="1" t="n">
        <v>1.3</v>
      </c>
      <c r="T19" s="1" t="n">
        <v>1.61</v>
      </c>
      <c r="U19" s="1" t="n">
        <v>180.881</v>
      </c>
      <c r="V19" s="1" t="n">
        <f aca="false">100*U19/$U$36</f>
        <v>1.24234920286926</v>
      </c>
      <c r="W19" s="2" t="n">
        <f aca="false">H19+F19+B19+D19+K19+P19</f>
        <v>1574.3</v>
      </c>
      <c r="X19" s="2" t="n">
        <f aca="false">W19/U19</f>
        <v>8.70351225391279</v>
      </c>
      <c r="Y19" s="27" t="n">
        <f aca="false">F19</f>
        <v>22.7</v>
      </c>
      <c r="Z19" s="1" t="n">
        <f aca="false">-Y19+($V$45 + $V$46)*1000*V19/100</f>
        <v>533.575521425941</v>
      </c>
      <c r="AA19" s="1" t="n">
        <f aca="false">Z19/U19/10</f>
        <v>0.294987047520713</v>
      </c>
      <c r="AB19" s="1" t="n">
        <f aca="false">ROUND(Z19/U19 *100/1000, 2)</f>
        <v>0.29</v>
      </c>
      <c r="AD19" s="1" t="n">
        <f aca="false">-V19*($V$47)*10</f>
        <v>-298.163808688621</v>
      </c>
      <c r="AE19" s="1" t="n">
        <f aca="false">AD19/U19/10</f>
        <v>-0.16483976132851</v>
      </c>
      <c r="AH19" s="1" t="n">
        <v>248.4</v>
      </c>
      <c r="AM19" s="1" t="s">
        <v>68</v>
      </c>
      <c r="AN19" s="1" t="n">
        <v>2</v>
      </c>
      <c r="AO19" s="1" t="n">
        <v>54</v>
      </c>
      <c r="AP19" s="1" t="n">
        <f aca="false">AN19+AO19/100</f>
        <v>2.54</v>
      </c>
      <c r="AQ19" s="1" t="n">
        <f aca="false">AP19*1000</f>
        <v>2540</v>
      </c>
      <c r="AT19" s="22" t="s">
        <v>69</v>
      </c>
      <c r="AU19" s="1" t="n">
        <v>6</v>
      </c>
      <c r="AV19" s="1" t="n">
        <v>3</v>
      </c>
      <c r="AW19" s="22" t="n">
        <f aca="false">AU19+AV19/10</f>
        <v>6.3</v>
      </c>
      <c r="AX19" s="22" t="n">
        <f aca="false">1000*AW19</f>
        <v>6300</v>
      </c>
    </row>
    <row r="20" customFormat="false" ht="15" hidden="false" customHeight="true" outlineLevel="0" collapsed="false">
      <c r="A20" s="18" t="s">
        <v>70</v>
      </c>
      <c r="B20" s="19" t="n">
        <v>139</v>
      </c>
      <c r="C20" s="19" t="n">
        <f aca="false">1000*B20/$U20</f>
        <v>933.361983293492</v>
      </c>
      <c r="D20" s="20" t="n">
        <v>113</v>
      </c>
      <c r="E20" s="19" t="n">
        <f aca="false">1000*D20/$U20</f>
        <v>758.776288576724</v>
      </c>
      <c r="F20" s="21" t="n">
        <v>5.9</v>
      </c>
      <c r="G20" s="19" t="n">
        <f aca="false">1000*F20/$U20</f>
        <v>39.617523031882</v>
      </c>
      <c r="H20" s="19" t="n">
        <v>208</v>
      </c>
      <c r="I20" s="19" t="n">
        <f aca="false">1000*H20/$U20</f>
        <v>1396.68555773415</v>
      </c>
      <c r="J20" s="1" t="n">
        <v>0.76</v>
      </c>
      <c r="K20" s="1" t="n">
        <f aca="false">L20*$K$37/100</f>
        <v>62.9</v>
      </c>
      <c r="L20" s="1" t="n">
        <v>370</v>
      </c>
      <c r="M20" s="19" t="n">
        <f aca="false">1000*L20/$U20</f>
        <v>2484.48873250786</v>
      </c>
      <c r="N20" s="1" t="n">
        <v>2.5</v>
      </c>
      <c r="O20" s="1" t="n">
        <v>0.9</v>
      </c>
      <c r="P20" s="1" t="n">
        <f aca="false">Q20*$P$37/100</f>
        <v>340</v>
      </c>
      <c r="Q20" s="1" t="n">
        <v>2500</v>
      </c>
      <c r="R20" s="19" t="n">
        <f aca="false">1000*P20/$U20</f>
        <v>2283.04370014235</v>
      </c>
      <c r="S20" s="1" t="n">
        <v>1.1</v>
      </c>
      <c r="T20" s="1" t="n">
        <v>0.78</v>
      </c>
      <c r="U20" s="1" t="n">
        <v>148.924</v>
      </c>
      <c r="V20" s="1" t="n">
        <f aca="false">100*U20/$U$36</f>
        <v>1.02285819233696</v>
      </c>
      <c r="W20" s="2" t="n">
        <f aca="false">H20+F20+B20+D20+K20+P20</f>
        <v>868.8</v>
      </c>
      <c r="X20" s="2" t="n">
        <f aca="false">W20/U20</f>
        <v>5.83384813730493</v>
      </c>
      <c r="Z20" s="1" t="n">
        <f aca="false">-Y20+($V$45 + $V$46)*1000*V20/100</f>
        <v>457.996007058988</v>
      </c>
      <c r="AA20" s="1" t="n">
        <f aca="false">Z20/U20/10</f>
        <v>0.307536734884228</v>
      </c>
      <c r="AB20" s="1" t="n">
        <f aca="false">ROUND(Z20/U20 *100/1000, 2)</f>
        <v>0.31</v>
      </c>
      <c r="AD20" s="1" t="n">
        <f aca="false">-V20*($V$47)*10</f>
        <v>-245.48596616087</v>
      </c>
      <c r="AE20" s="1" t="n">
        <f aca="false">AD20/U20/10</f>
        <v>-0.16483976132851</v>
      </c>
      <c r="AH20" s="1" t="n">
        <v>218.8</v>
      </c>
      <c r="AM20" s="1" t="s">
        <v>71</v>
      </c>
      <c r="AN20" s="1" t="n">
        <v>0</v>
      </c>
      <c r="AO20" s="1" t="n">
        <v>37</v>
      </c>
      <c r="AP20" s="1" t="n">
        <f aca="false">AN20+AO20/100</f>
        <v>0.37</v>
      </c>
      <c r="AQ20" s="1" t="n">
        <f aca="false">AP20*1000</f>
        <v>370</v>
      </c>
      <c r="AT20" s="22" t="s">
        <v>70</v>
      </c>
      <c r="AU20" s="1" t="n">
        <v>2</v>
      </c>
      <c r="AV20" s="1" t="n">
        <v>5</v>
      </c>
      <c r="AW20" s="22" t="n">
        <f aca="false">AU20+AV20/10</f>
        <v>2.5</v>
      </c>
      <c r="AX20" s="22" t="n">
        <f aca="false">1000*AW20</f>
        <v>2500</v>
      </c>
    </row>
    <row r="21" customFormat="false" ht="15" hidden="false" customHeight="true" outlineLevel="0" collapsed="false">
      <c r="A21" s="23" t="s">
        <v>72</v>
      </c>
      <c r="B21" s="24" t="n">
        <v>97</v>
      </c>
      <c r="C21" s="19" t="n">
        <f aca="false">1000*B21/$U21</f>
        <v>299.863052234907</v>
      </c>
      <c r="D21" s="25" t="n">
        <v>160</v>
      </c>
      <c r="E21" s="19" t="n">
        <f aca="false">1000*D21/$U21</f>
        <v>494.619467603971</v>
      </c>
      <c r="F21" s="26" t="n">
        <v>241.4</v>
      </c>
      <c r="G21" s="19" t="n">
        <f aca="false">1000*F21/$U21</f>
        <v>746.257121747491</v>
      </c>
      <c r="H21" s="24" t="n">
        <v>331</v>
      </c>
      <c r="I21" s="19" t="n">
        <f aca="false">1000*H21/$U21</f>
        <v>1023.24402360571</v>
      </c>
      <c r="J21" s="1" t="n">
        <v>2.52</v>
      </c>
      <c r="K21" s="1" t="n">
        <f aca="false">L21*$K$37/100</f>
        <v>159.8</v>
      </c>
      <c r="L21" s="1" t="n">
        <v>940</v>
      </c>
      <c r="M21" s="19" t="n">
        <f aca="false">1000*L21/$U21</f>
        <v>2905.88937217333</v>
      </c>
      <c r="N21" s="1" t="n">
        <v>3.8</v>
      </c>
      <c r="O21" s="1" t="n">
        <v>1.3</v>
      </c>
      <c r="P21" s="1" t="n">
        <f aca="false">Q21*$P$37/100</f>
        <v>516.8</v>
      </c>
      <c r="Q21" s="1" t="n">
        <v>3800</v>
      </c>
      <c r="R21" s="19" t="n">
        <f aca="false">1000*P21/$U21</f>
        <v>1597.62088036082</v>
      </c>
      <c r="S21" s="1" t="n">
        <v>3</v>
      </c>
      <c r="T21" s="1" t="n">
        <v>0.43</v>
      </c>
      <c r="U21" s="1" t="n">
        <v>323.481</v>
      </c>
      <c r="V21" s="1" t="n">
        <f aca="false">100*U21/$U$36</f>
        <v>2.22177211809615</v>
      </c>
      <c r="W21" s="2" t="n">
        <f aca="false">H21+F21+B21+D21+K21+P21</f>
        <v>1506</v>
      </c>
      <c r="X21" s="2" t="n">
        <f aca="false">W21/U21</f>
        <v>4.65560573882237</v>
      </c>
      <c r="Y21" s="27" t="n">
        <f aca="false">F21</f>
        <v>241.4</v>
      </c>
      <c r="Z21" s="1" t="n">
        <f aca="false">-Y21+($V$45 + $V$46)*1000*V21/100</f>
        <v>753.42290537085</v>
      </c>
      <c r="AA21" s="1" t="n">
        <f aca="false">Z21/U21/10</f>
        <v>0.232911022709479</v>
      </c>
      <c r="AB21" s="1" t="n">
        <f aca="false">ROUND(Z21/U21 *100/1000, 2)</f>
        <v>0.23</v>
      </c>
      <c r="AD21" s="1" t="n">
        <f aca="false">-V21*($V$47)*10</f>
        <v>-533.225308343076</v>
      </c>
      <c r="AE21" s="1" t="n">
        <f aca="false">AD21/U21/10</f>
        <v>-0.16483976132851</v>
      </c>
      <c r="AH21" s="1" t="n">
        <v>602.4</v>
      </c>
      <c r="AM21" s="1" t="s">
        <v>73</v>
      </c>
      <c r="AN21" s="1" t="n">
        <v>0</v>
      </c>
      <c r="AO21" s="1" t="n">
        <v>94</v>
      </c>
      <c r="AP21" s="1" t="n">
        <f aca="false">AN21+AO21/100</f>
        <v>0.94</v>
      </c>
      <c r="AQ21" s="1" t="n">
        <f aca="false">AP21*1000</f>
        <v>940</v>
      </c>
      <c r="AT21" s="22" t="s">
        <v>74</v>
      </c>
      <c r="AU21" s="1" t="n">
        <v>3</v>
      </c>
      <c r="AV21" s="1" t="n">
        <v>8</v>
      </c>
      <c r="AW21" s="22" t="n">
        <f aca="false">AU21+AV21/10</f>
        <v>3.8</v>
      </c>
      <c r="AX21" s="22" t="n">
        <f aca="false">1000*AW21</f>
        <v>3800</v>
      </c>
      <c r="AY21" s="22" t="s">
        <v>75</v>
      </c>
    </row>
    <row r="22" customFormat="false" ht="15" hidden="false" customHeight="true" outlineLevel="0" collapsed="false">
      <c r="A22" s="18" t="s">
        <v>76</v>
      </c>
      <c r="B22" s="19" t="n">
        <v>464</v>
      </c>
      <c r="C22" s="19" t="n">
        <f aca="false">1000*B22/$U22</f>
        <v>255.791133309077</v>
      </c>
      <c r="D22" s="20" t="n">
        <v>891</v>
      </c>
      <c r="E22" s="19" t="n">
        <f aca="false">1000*D22/$U22</f>
        <v>491.185128832732</v>
      </c>
      <c r="F22" s="21" t="n">
        <v>544.5</v>
      </c>
      <c r="G22" s="19" t="n">
        <f aca="false">1000*F22/$U22</f>
        <v>300.168689842225</v>
      </c>
      <c r="H22" s="19" t="n">
        <v>2618</v>
      </c>
      <c r="I22" s="19" t="n">
        <f aca="false">1000*H22/$U22</f>
        <v>1443.23531681716</v>
      </c>
      <c r="J22" s="1" t="n">
        <v>10.01</v>
      </c>
      <c r="K22" s="1" t="n">
        <f aca="false">L22*$K$37/100</f>
        <v>1208.7</v>
      </c>
      <c r="L22" s="1" t="n">
        <v>7110</v>
      </c>
      <c r="M22" s="19" t="n">
        <f aca="false">1000*L22/$U22</f>
        <v>3919.55809876625</v>
      </c>
      <c r="N22" s="1" t="n">
        <v>56.5</v>
      </c>
      <c r="O22" s="1" t="n">
        <v>18.9</v>
      </c>
      <c r="P22" s="1" t="n">
        <f aca="false">Q22*$P$37/100</f>
        <v>7684</v>
      </c>
      <c r="Q22" s="1" t="n">
        <v>56500</v>
      </c>
      <c r="R22" s="19" t="n">
        <f aca="false">1000*P22/$U22</f>
        <v>4235.98937143739</v>
      </c>
      <c r="S22" s="1" t="n">
        <v>12.3</v>
      </c>
      <c r="T22" s="1" t="n">
        <v>1.54</v>
      </c>
      <c r="U22" s="1" t="n">
        <v>1813.98</v>
      </c>
      <c r="V22" s="1" t="n">
        <f aca="false">100*U22/$U$36</f>
        <v>12.4590012606121</v>
      </c>
      <c r="W22" s="2" t="n">
        <f aca="false">H22+F22+B22+D22+K22+P22</f>
        <v>13410.2</v>
      </c>
      <c r="X22" s="2" t="n">
        <f aca="false">W22/U22</f>
        <v>7.39269451702885</v>
      </c>
      <c r="Y22" s="2" t="n">
        <f aca="false">B22+F22</f>
        <v>1008.5</v>
      </c>
      <c r="Z22" s="1" t="n">
        <f aca="false">-Y22+($V$45 + $V$46)*1000*V22/100</f>
        <v>4570.15486345292</v>
      </c>
      <c r="AA22" s="1" t="n">
        <f aca="false">Z22/U22/10</f>
        <v>0.251940752569098</v>
      </c>
      <c r="AB22" s="1" t="n">
        <f aca="false">ROUND(Z22/U22 *100/1000, 2)</f>
        <v>0.25</v>
      </c>
      <c r="AD22" s="1" t="n">
        <f aca="false">-V22*($V$47)*10</f>
        <v>-2990.1603025469</v>
      </c>
      <c r="AE22" s="1" t="n">
        <f aca="false">AD22/U22/10</f>
        <v>-0.16483976132851</v>
      </c>
      <c r="AH22" s="1" t="n">
        <v>2258</v>
      </c>
      <c r="AM22" s="1" t="s">
        <v>77</v>
      </c>
      <c r="AN22" s="1" t="n">
        <v>7</v>
      </c>
      <c r="AO22" s="1" t="n">
        <v>11</v>
      </c>
      <c r="AP22" s="1" t="n">
        <f aca="false">AN22+AO22/100</f>
        <v>7.11</v>
      </c>
      <c r="AQ22" s="1" t="n">
        <f aca="false">AP22*1000</f>
        <v>7110</v>
      </c>
      <c r="AT22" s="22" t="s">
        <v>78</v>
      </c>
      <c r="AU22" s="1" t="n">
        <v>56</v>
      </c>
      <c r="AV22" s="1" t="n">
        <v>5</v>
      </c>
      <c r="AW22" s="22" t="n">
        <f aca="false">AU22+AV22/10</f>
        <v>56.5</v>
      </c>
      <c r="AX22" s="22" t="n">
        <f aca="false">1000*AW22</f>
        <v>56500</v>
      </c>
    </row>
    <row r="23" customFormat="false" ht="15" hidden="false" customHeight="true" outlineLevel="0" collapsed="false">
      <c r="A23" s="23" t="s">
        <v>79</v>
      </c>
      <c r="B23" s="24" t="n">
        <v>27</v>
      </c>
      <c r="C23" s="19" t="n">
        <f aca="false">1000*B23/$U23</f>
        <v>816.326530612245</v>
      </c>
      <c r="D23" s="25" t="n">
        <v>20</v>
      </c>
      <c r="E23" s="19" t="n">
        <f aca="false">1000*D23/$U23</f>
        <v>604.686318972033</v>
      </c>
      <c r="F23" s="24" t="n">
        <v>0</v>
      </c>
      <c r="G23" s="19" t="n">
        <f aca="false">1000*F23/$U23</f>
        <v>0</v>
      </c>
      <c r="H23" s="24" t="n">
        <v>20</v>
      </c>
      <c r="I23" s="19" t="n">
        <f aca="false">1000*H23/$U23</f>
        <v>604.686318972033</v>
      </c>
      <c r="J23" s="1" t="n">
        <v>0.27</v>
      </c>
      <c r="K23" s="1" t="n">
        <f aca="false">L23*$K$37/100</f>
        <v>30.6</v>
      </c>
      <c r="L23" s="1" t="n">
        <v>180</v>
      </c>
      <c r="M23" s="19" t="n">
        <f aca="false">1000*L23/$U23</f>
        <v>5442.1768707483</v>
      </c>
      <c r="N23" s="1" t="n">
        <v>0.5</v>
      </c>
      <c r="O23" s="1" t="n">
        <v>0.2</v>
      </c>
      <c r="P23" s="1" t="n">
        <f aca="false">Q23*$P$37/100</f>
        <v>68</v>
      </c>
      <c r="Q23" s="1" t="n">
        <v>500</v>
      </c>
      <c r="R23" s="19" t="n">
        <f aca="false">1000*P23/$U23</f>
        <v>2055.93348450491</v>
      </c>
      <c r="S23" s="1" t="n">
        <v>0.3</v>
      </c>
      <c r="T23" s="1" t="n">
        <v>0.55</v>
      </c>
      <c r="U23" s="1" t="n">
        <v>33.075</v>
      </c>
      <c r="V23" s="1" t="n">
        <f aca="false">100*U23/$U$36</f>
        <v>0.227169796080852</v>
      </c>
      <c r="W23" s="2" t="n">
        <f aca="false">H23+F23+B23+D23+K23+P23</f>
        <v>165.6</v>
      </c>
      <c r="X23" s="2" t="n">
        <f aca="false">W23/U23</f>
        <v>5.00680272108844</v>
      </c>
      <c r="Z23" s="1" t="n">
        <f aca="false">-Y23+($V$45 + $V$46)*1000*V23/100</f>
        <v>101.717775062958</v>
      </c>
      <c r="AA23" s="1" t="n">
        <f aca="false">Z23/U23/10</f>
        <v>0.307536734884228</v>
      </c>
      <c r="AB23" s="1" t="n">
        <f aca="false">ROUND(Z23/U23 *100/1000, 2)</f>
        <v>0.31</v>
      </c>
      <c r="AD23" s="1" t="n">
        <f aca="false">-V23*($V$47)*10</f>
        <v>-54.5207510594045</v>
      </c>
      <c r="AE23" s="1" t="n">
        <f aca="false">AD23/U23/10</f>
        <v>-0.16483976132851</v>
      </c>
      <c r="AH23" s="1" t="n">
        <v>43</v>
      </c>
      <c r="AM23" s="1" t="s">
        <v>80</v>
      </c>
      <c r="AN23" s="1" t="n">
        <v>0</v>
      </c>
      <c r="AO23" s="1" t="n">
        <v>18</v>
      </c>
      <c r="AP23" s="1" t="n">
        <f aca="false">AN23+AO23/100</f>
        <v>0.18</v>
      </c>
      <c r="AQ23" s="1" t="n">
        <f aca="false">AP23*1000</f>
        <v>180</v>
      </c>
      <c r="AT23" s="22" t="s">
        <v>79</v>
      </c>
      <c r="AU23" s="1" t="n">
        <v>0</v>
      </c>
      <c r="AV23" s="1" t="n">
        <v>5</v>
      </c>
      <c r="AW23" s="22" t="n">
        <f aca="false">AU23+AV23/10</f>
        <v>0.5</v>
      </c>
      <c r="AX23" s="22" t="n">
        <f aca="false">1000*AW23</f>
        <v>500</v>
      </c>
    </row>
    <row r="24" customFormat="false" ht="15" hidden="false" customHeight="true" outlineLevel="0" collapsed="false">
      <c r="A24" s="18" t="s">
        <v>81</v>
      </c>
      <c r="B24" s="19" t="n">
        <v>41</v>
      </c>
      <c r="C24" s="19" t="n">
        <f aca="false">1000*B24/$U24</f>
        <v>759.034360189574</v>
      </c>
      <c r="D24" s="20" t="n">
        <v>24</v>
      </c>
      <c r="E24" s="19" t="n">
        <f aca="false">1000*D24/$U24</f>
        <v>444.312796208531</v>
      </c>
      <c r="F24" s="21" t="n">
        <v>0.1</v>
      </c>
      <c r="G24" s="19" t="n">
        <f aca="false">1000*F24/$U24</f>
        <v>1.85130331753555</v>
      </c>
      <c r="H24" s="19" t="n">
        <v>31</v>
      </c>
      <c r="I24" s="19" t="n">
        <f aca="false">1000*H24/$U24</f>
        <v>573.904028436019</v>
      </c>
      <c r="J24" s="1" t="n">
        <v>0.21</v>
      </c>
      <c r="K24" s="1" t="n">
        <f aca="false">L24*$K$37/100</f>
        <v>23.8</v>
      </c>
      <c r="L24" s="1" t="n">
        <v>140</v>
      </c>
      <c r="M24" s="19" t="n">
        <f aca="false">1000*L24/$U24</f>
        <v>2591.82464454976</v>
      </c>
      <c r="N24" s="1" t="n">
        <v>0.8</v>
      </c>
      <c r="O24" s="1" t="n">
        <v>0.3</v>
      </c>
      <c r="P24" s="1" t="n">
        <f aca="false">Q24*$P$37/100</f>
        <v>108.8</v>
      </c>
      <c r="Q24" s="1" t="n">
        <v>800</v>
      </c>
      <c r="R24" s="19" t="n">
        <f aca="false">1000*P24/$U24</f>
        <v>2014.21800947867</v>
      </c>
      <c r="S24" s="1" t="n">
        <v>0.5</v>
      </c>
      <c r="T24" s="1" t="n">
        <v>0.53</v>
      </c>
      <c r="U24" s="1" t="n">
        <v>54.016</v>
      </c>
      <c r="V24" s="1" t="n">
        <f aca="false">100*U24/$U$36</f>
        <v>0.370999356163366</v>
      </c>
      <c r="W24" s="2" t="n">
        <f aca="false">H24+F24+B24+D24+K24+P24</f>
        <v>228.7</v>
      </c>
      <c r="X24" s="2" t="n">
        <f aca="false">W24/U24</f>
        <v>4.23393068720379</v>
      </c>
      <c r="Z24" s="1" t="n">
        <f aca="false">-Y24+($V$45 + $V$46)*1000*V24/100</f>
        <v>166.119042715065</v>
      </c>
      <c r="AA24" s="1" t="n">
        <f aca="false">Z24/U24/10</f>
        <v>0.307536734884228</v>
      </c>
      <c r="AB24" s="1" t="n">
        <f aca="false">ROUND(Z24/U24 *100/1000, 2)</f>
        <v>0.31</v>
      </c>
      <c r="AD24" s="1" t="n">
        <f aca="false">-V24*($V$47)*10</f>
        <v>-89.0398454792077</v>
      </c>
      <c r="AE24" s="1" t="n">
        <f aca="false">AD24/U24/10</f>
        <v>-0.16483976132851</v>
      </c>
      <c r="AH24" s="1" t="n">
        <v>84.3</v>
      </c>
      <c r="AM24" s="1" t="s">
        <v>82</v>
      </c>
      <c r="AN24" s="1" t="n">
        <v>0</v>
      </c>
      <c r="AO24" s="1" t="n">
        <v>14</v>
      </c>
      <c r="AP24" s="1" t="n">
        <f aca="false">AN24+AO24/100</f>
        <v>0.14</v>
      </c>
      <c r="AQ24" s="1" t="n">
        <f aca="false">AP24*1000</f>
        <v>140</v>
      </c>
      <c r="AT24" s="22" t="s">
        <v>81</v>
      </c>
      <c r="AU24" s="1" t="n">
        <v>0</v>
      </c>
      <c r="AV24" s="1" t="n">
        <v>8</v>
      </c>
      <c r="AW24" s="22" t="n">
        <f aca="false">AU24+AV24/10</f>
        <v>0.8</v>
      </c>
      <c r="AX24" s="22" t="n">
        <f aca="false">1000*AW24</f>
        <v>800</v>
      </c>
    </row>
    <row r="25" customFormat="false" ht="15" hidden="false" customHeight="true" outlineLevel="0" collapsed="false">
      <c r="A25" s="23" t="s">
        <v>83</v>
      </c>
      <c r="B25" s="24" t="n">
        <v>10</v>
      </c>
      <c r="C25" s="19" t="n">
        <f aca="false">1000*B25/$U25</f>
        <v>198.137507430157</v>
      </c>
      <c r="D25" s="30"/>
      <c r="E25" s="19" t="n">
        <f aca="false">1000*D25/$U25</f>
        <v>0</v>
      </c>
      <c r="F25" s="24" t="n">
        <v>0</v>
      </c>
      <c r="G25" s="19" t="n">
        <f aca="false">1000*F25/$U25</f>
        <v>0</v>
      </c>
      <c r="H25" s="24" t="n">
        <v>208</v>
      </c>
      <c r="I25" s="19" t="n">
        <f aca="false">1000*H25/$U25</f>
        <v>4121.26015454726</v>
      </c>
      <c r="J25" s="1" t="n">
        <v>1.55</v>
      </c>
      <c r="K25" s="1" t="n">
        <f aca="false">L25*$K$37/100</f>
        <v>35.7</v>
      </c>
      <c r="L25" s="1" t="n">
        <v>210</v>
      </c>
      <c r="M25" s="19" t="n">
        <f aca="false">1000*L25/$U25</f>
        <v>4160.88765603329</v>
      </c>
      <c r="N25" s="1" t="n">
        <v>1.8</v>
      </c>
      <c r="O25" s="1" t="n">
        <v>0.6</v>
      </c>
      <c r="P25" s="1" t="n">
        <f aca="false">Q25*$P$37/100</f>
        <v>244.8</v>
      </c>
      <c r="Q25" s="1" t="n">
        <v>1800</v>
      </c>
      <c r="R25" s="19" t="n">
        <f aca="false">1000*P25/$U25</f>
        <v>4850.40618189023</v>
      </c>
      <c r="S25" s="1" t="n">
        <v>0.5</v>
      </c>
      <c r="T25" s="1" t="n">
        <v>1.21</v>
      </c>
      <c r="U25" s="1" t="n">
        <v>50.47</v>
      </c>
      <c r="V25" s="1" t="n">
        <f aca="false">100*U25/$U$36</f>
        <v>0.346644281427078</v>
      </c>
      <c r="W25" s="2" t="n">
        <f aca="false">H25+F25+B25+D25+K25+P25</f>
        <v>498.5</v>
      </c>
      <c r="X25" s="2" t="n">
        <f aca="false">W25/U25</f>
        <v>9.8771547453933</v>
      </c>
      <c r="Z25" s="1" t="n">
        <f aca="false">-Y25+($V$45 + $V$46)*1000*V25/100</f>
        <v>155.21379009607</v>
      </c>
      <c r="AA25" s="1" t="n">
        <f aca="false">Z25/U25/10</f>
        <v>0.307536734884228</v>
      </c>
      <c r="AB25" s="1" t="n">
        <f aca="false">ROUND(Z25/U25 *100/1000, 2)</f>
        <v>0.31</v>
      </c>
      <c r="AD25" s="1" t="n">
        <f aca="false">-V25*($V$47)*10</f>
        <v>-83.1946275424988</v>
      </c>
      <c r="AE25" s="1" t="n">
        <f aca="false">AD25/U25/10</f>
        <v>-0.16483976132851</v>
      </c>
      <c r="AH25" s="1" t="n">
        <v>89.5</v>
      </c>
      <c r="AM25" s="1" t="s">
        <v>84</v>
      </c>
      <c r="AN25" s="1" t="n">
        <v>0</v>
      </c>
      <c r="AO25" s="1" t="n">
        <v>21</v>
      </c>
      <c r="AP25" s="1" t="n">
        <f aca="false">AN25+AO25/100</f>
        <v>0.21</v>
      </c>
      <c r="AQ25" s="1" t="n">
        <f aca="false">AP25*1000</f>
        <v>210</v>
      </c>
      <c r="AT25" s="22" t="s">
        <v>83</v>
      </c>
      <c r="AU25" s="1" t="n">
        <v>1</v>
      </c>
      <c r="AV25" s="1" t="n">
        <v>8</v>
      </c>
      <c r="AW25" s="22" t="n">
        <f aca="false">AU25+AV25/10</f>
        <v>1.8</v>
      </c>
      <c r="AX25" s="22" t="n">
        <f aca="false">1000*AW25</f>
        <v>1800</v>
      </c>
    </row>
    <row r="26" customFormat="false" ht="15" hidden="false" customHeight="true" outlineLevel="0" collapsed="false">
      <c r="A26" s="18" t="s">
        <v>85</v>
      </c>
      <c r="B26" s="19" t="n">
        <v>7</v>
      </c>
      <c r="C26" s="19" t="n">
        <f aca="false">1000*B26/$U26</f>
        <v>510.538983298082</v>
      </c>
      <c r="D26" s="28"/>
      <c r="E26" s="19" t="n">
        <f aca="false">1000*D26/$U26</f>
        <v>0</v>
      </c>
      <c r="F26" s="19" t="n">
        <v>0</v>
      </c>
      <c r="G26" s="19" t="n">
        <f aca="false">1000*F26/$U26</f>
        <v>0</v>
      </c>
      <c r="H26" s="19" t="n">
        <v>9</v>
      </c>
      <c r="I26" s="19" t="n">
        <f aca="false">1000*H26/$U26</f>
        <v>656.407264240391</v>
      </c>
      <c r="J26" s="1" t="n">
        <v>0.29</v>
      </c>
      <c r="K26" s="1" t="n">
        <f aca="false">L26*$K$37/100</f>
        <v>45.9</v>
      </c>
      <c r="L26" s="1" t="n">
        <v>270</v>
      </c>
      <c r="M26" s="19" t="n">
        <f aca="false">1000*L26/$U26</f>
        <v>19692.2179272117</v>
      </c>
      <c r="N26" s="1" t="n">
        <v>0.9</v>
      </c>
      <c r="O26" s="1" t="n">
        <v>0.3</v>
      </c>
      <c r="P26" s="1" t="n">
        <f aca="false">Q26*$P$37/100</f>
        <v>122.4</v>
      </c>
      <c r="Q26" s="1" t="n">
        <v>900</v>
      </c>
      <c r="R26" s="19" t="n">
        <f aca="false">1000*P26/$U26</f>
        <v>8927.13879366932</v>
      </c>
      <c r="S26" s="1" t="n">
        <v>0.1</v>
      </c>
      <c r="T26" s="1" t="n">
        <v>3.11</v>
      </c>
      <c r="U26" s="1" t="n">
        <v>13.711</v>
      </c>
      <c r="V26" s="1" t="n">
        <f aca="false">100*U26/$U$36</f>
        <v>0.0941715819822998</v>
      </c>
      <c r="W26" s="2" t="n">
        <f aca="false">H26+F26+B26+D26+K26+P26</f>
        <v>184.3</v>
      </c>
      <c r="X26" s="2" t="n">
        <f aca="false">W26/U26</f>
        <v>13.4417620888338</v>
      </c>
      <c r="Z26" s="1" t="n">
        <f aca="false">-Y26+($V$45 + $V$46)*1000*V26/100</f>
        <v>42.1663617199765</v>
      </c>
      <c r="AA26" s="1" t="n">
        <f aca="false">Z26/U26/10</f>
        <v>0.307536734884228</v>
      </c>
      <c r="AB26" s="1" t="n">
        <f aca="false">ROUND(Z26/U26 *100/1000, 2)</f>
        <v>0.31</v>
      </c>
      <c r="AD26" s="1" t="n">
        <f aca="false">-V26*($V$47)*10</f>
        <v>-22.6011796757519</v>
      </c>
      <c r="AE26" s="1" t="n">
        <f aca="false">AD26/U26/10</f>
        <v>-0.16483976132851</v>
      </c>
      <c r="AH26" s="1" t="n">
        <v>24.6</v>
      </c>
      <c r="AM26" s="1" t="s">
        <v>86</v>
      </c>
      <c r="AN26" s="1" t="n">
        <v>0</v>
      </c>
      <c r="AO26" s="1" t="n">
        <v>27</v>
      </c>
      <c r="AP26" s="1" t="n">
        <f aca="false">AN26+AO26/100</f>
        <v>0.27</v>
      </c>
      <c r="AQ26" s="1" t="n">
        <f aca="false">AP26*1000</f>
        <v>270</v>
      </c>
      <c r="AT26" s="22" t="s">
        <v>85</v>
      </c>
      <c r="AU26" s="1" t="n">
        <v>0</v>
      </c>
      <c r="AV26" s="1" t="n">
        <v>9</v>
      </c>
      <c r="AW26" s="22" t="n">
        <f aca="false">AU26+AV26/10</f>
        <v>0.9</v>
      </c>
      <c r="AX26" s="22" t="n">
        <f aca="false">1000*AW26</f>
        <v>900</v>
      </c>
    </row>
    <row r="27" customFormat="false" ht="15" hidden="false" customHeight="true" outlineLevel="0" collapsed="false">
      <c r="A27" s="23" t="s">
        <v>87</v>
      </c>
      <c r="B27" s="24" t="n">
        <v>332</v>
      </c>
      <c r="C27" s="19" t="n">
        <f aca="false">1000*B27/$U27</f>
        <v>396.580804533444</v>
      </c>
      <c r="D27" s="25" t="n">
        <v>652</v>
      </c>
      <c r="E27" s="19" t="n">
        <f aca="false">1000*D27/$U27</f>
        <v>778.827363119896</v>
      </c>
      <c r="F27" s="24" t="n">
        <v>1961</v>
      </c>
      <c r="G27" s="19" t="n">
        <f aca="false">1000*F27/$U27</f>
        <v>2342.4546918376</v>
      </c>
      <c r="H27" s="24" t="n">
        <v>913</v>
      </c>
      <c r="I27" s="19" t="n">
        <f aca="false">1000*H27/$U27</f>
        <v>1090.59721246697</v>
      </c>
      <c r="J27" s="1" t="n">
        <v>8.82</v>
      </c>
      <c r="K27" s="1" t="n">
        <f aca="false">L27*$K$37/100</f>
        <v>336.6</v>
      </c>
      <c r="L27" s="1" t="n">
        <v>1980</v>
      </c>
      <c r="M27" s="19" t="n">
        <f aca="false">1000*L27/$U27</f>
        <v>2365.15058125367</v>
      </c>
      <c r="N27" s="1" t="n">
        <v>11</v>
      </c>
      <c r="O27" s="1" t="n">
        <v>3.7</v>
      </c>
      <c r="P27" s="1" t="n">
        <f aca="false">Q27*$P$37/100</f>
        <v>1496</v>
      </c>
      <c r="Q27" s="1" t="n">
        <v>11000</v>
      </c>
      <c r="R27" s="19" t="n">
        <f aca="false">1000*P27/$U27</f>
        <v>1787.00266139166</v>
      </c>
      <c r="S27" s="1" t="n">
        <v>6</v>
      </c>
      <c r="T27" s="1" t="n">
        <v>0.61</v>
      </c>
      <c r="U27" s="1" t="n">
        <v>837.156</v>
      </c>
      <c r="V27" s="1" t="n">
        <f aca="false">100*U27/$U$36</f>
        <v>5.74985813478041</v>
      </c>
      <c r="W27" s="2" t="n">
        <f aca="false">H27+F27+B27+D27+K27+P27</f>
        <v>5690.6</v>
      </c>
      <c r="X27" s="2" t="n">
        <f aca="false">W27/U27</f>
        <v>6.7975383321627</v>
      </c>
      <c r="Z27" s="1" t="n">
        <f aca="false">-Y27+($V$45 + $V$46)*1000*V27/100</f>
        <v>2574.56222828741</v>
      </c>
      <c r="AA27" s="1" t="n">
        <f aca="false">Z27/U27/10</f>
        <v>0.307536734884228</v>
      </c>
      <c r="AB27" s="1" t="n">
        <f aca="false">ROUND(Z27/U27 *100/1000, 2)</f>
        <v>0.31</v>
      </c>
      <c r="AD27" s="1" t="n">
        <f aca="false">-V27*($V$47)*10</f>
        <v>-1379.9659523473</v>
      </c>
      <c r="AE27" s="1" t="n">
        <f aca="false">AD27/U27/10</f>
        <v>-0.16483976132851</v>
      </c>
      <c r="AH27" s="1" t="n">
        <v>1170.6</v>
      </c>
      <c r="AM27" s="1" t="s">
        <v>88</v>
      </c>
      <c r="AN27" s="1" t="n">
        <v>1</v>
      </c>
      <c r="AO27" s="1" t="n">
        <v>98</v>
      </c>
      <c r="AP27" s="1" t="n">
        <f aca="false">AN27+AO27/100</f>
        <v>1.98</v>
      </c>
      <c r="AQ27" s="1" t="n">
        <f aca="false">AP27*1000</f>
        <v>1980</v>
      </c>
      <c r="AT27" s="22" t="s">
        <v>89</v>
      </c>
      <c r="AU27" s="1" t="n">
        <v>11</v>
      </c>
      <c r="AV27" s="1" t="n">
        <v>0</v>
      </c>
      <c r="AW27" s="22" t="n">
        <f aca="false">AU27+AV27/10</f>
        <v>11</v>
      </c>
      <c r="AX27" s="22" t="n">
        <f aca="false">1000*AW27</f>
        <v>11000</v>
      </c>
    </row>
    <row r="28" customFormat="false" ht="15" hidden="false" customHeight="true" outlineLevel="0" collapsed="false">
      <c r="A28" s="18" t="s">
        <v>90</v>
      </c>
      <c r="B28" s="19" t="n">
        <v>494</v>
      </c>
      <c r="C28" s="19" t="n">
        <f aca="false">1000*B28/$U28</f>
        <v>901.606282772202</v>
      </c>
      <c r="D28" s="20" t="n">
        <v>427</v>
      </c>
      <c r="E28" s="19" t="n">
        <f aca="false">1000*D28/$U28</f>
        <v>779.323649278806</v>
      </c>
      <c r="F28" s="19" t="n">
        <v>63</v>
      </c>
      <c r="G28" s="19" t="n">
        <f aca="false">1000*F28/$U28</f>
        <v>114.982177762447</v>
      </c>
      <c r="H28" s="19" t="n">
        <v>560</v>
      </c>
      <c r="I28" s="19" t="n">
        <f aca="false">1000*H28/$U28</f>
        <v>1022.06380233286</v>
      </c>
      <c r="J28" s="1" t="n">
        <v>2.15</v>
      </c>
      <c r="K28" s="1" t="n">
        <f aca="false">L28*$K$37/100</f>
        <v>202.3</v>
      </c>
      <c r="L28" s="1" t="n">
        <v>1190</v>
      </c>
      <c r="M28" s="19" t="n">
        <f aca="false">1000*L28/$U28</f>
        <v>2171.88557995733</v>
      </c>
      <c r="N28" s="1" t="n">
        <v>8</v>
      </c>
      <c r="O28" s="1" t="n">
        <v>2.7</v>
      </c>
      <c r="P28" s="1" t="n">
        <f aca="false">Q28*$P$37/100</f>
        <v>1088</v>
      </c>
      <c r="Q28" s="1" t="n">
        <v>8000</v>
      </c>
      <c r="R28" s="19" t="n">
        <f aca="false">1000*P28/$U28</f>
        <v>1985.72395881813</v>
      </c>
      <c r="S28" s="1" t="n">
        <v>4.7</v>
      </c>
      <c r="T28" s="1" t="n">
        <v>0.57</v>
      </c>
      <c r="U28" s="1" t="n">
        <v>547.911</v>
      </c>
      <c r="V28" s="1" t="n">
        <f aca="false">100*U28/$U$36</f>
        <v>3.76322993621937</v>
      </c>
      <c r="W28" s="2" t="n">
        <f aca="false">H28+F28+B28+D28+K28+P28</f>
        <v>2834.3</v>
      </c>
      <c r="X28" s="2" t="n">
        <f aca="false">W28/U28</f>
        <v>5.17292041955719</v>
      </c>
      <c r="Z28" s="1" t="n">
        <f aca="false">-Y28+($V$45 + $V$46)*1000*V28/100</f>
        <v>1685.02759947152</v>
      </c>
      <c r="AA28" s="1" t="n">
        <f aca="false">Z28/U28/10</f>
        <v>0.307536734884228</v>
      </c>
      <c r="AB28" s="1" t="n">
        <f aca="false">ROUND(Z28/U28 *100/1000, 2)</f>
        <v>0.31</v>
      </c>
      <c r="AD28" s="1" t="n">
        <f aca="false">-V28*($V$47)*10</f>
        <v>-903.17518469265</v>
      </c>
      <c r="AE28" s="1" t="n">
        <f aca="false">AD28/U28/10</f>
        <v>-0.16483976132851</v>
      </c>
      <c r="AH28" s="1" t="n">
        <v>922.9</v>
      </c>
      <c r="AM28" s="1" t="s">
        <v>91</v>
      </c>
      <c r="AN28" s="1" t="n">
        <v>1</v>
      </c>
      <c r="AO28" s="1" t="n">
        <v>19</v>
      </c>
      <c r="AP28" s="1" t="n">
        <f aca="false">AN28+AO28/100</f>
        <v>1.19</v>
      </c>
      <c r="AQ28" s="1" t="n">
        <f aca="false">AP28*1000</f>
        <v>1190</v>
      </c>
      <c r="AT28" s="22" t="s">
        <v>92</v>
      </c>
      <c r="AU28" s="1" t="n">
        <v>8</v>
      </c>
      <c r="AV28" s="1" t="n">
        <v>0</v>
      </c>
      <c r="AW28" s="22" t="n">
        <f aca="false">AU28+AV28/10</f>
        <v>8</v>
      </c>
      <c r="AX28" s="22" t="n">
        <f aca="false">1000*AW28</f>
        <v>8000</v>
      </c>
    </row>
    <row r="29" customFormat="false" ht="15" hidden="false" customHeight="true" outlineLevel="0" collapsed="false">
      <c r="A29" s="23" t="s">
        <v>93</v>
      </c>
      <c r="B29" s="24" t="n">
        <v>136</v>
      </c>
      <c r="C29" s="19" t="n">
        <f aca="false">1000*B29/$U29</f>
        <v>641.88790560472</v>
      </c>
      <c r="D29" s="25" t="n">
        <v>84</v>
      </c>
      <c r="E29" s="19" t="n">
        <f aca="false">1000*D29/$U29</f>
        <v>396.46017699115</v>
      </c>
      <c r="F29" s="26" t="n">
        <v>24.9</v>
      </c>
      <c r="G29" s="19" t="n">
        <f aca="false">1000*F29/$U29</f>
        <v>117.522123893805</v>
      </c>
      <c r="H29" s="24" t="n">
        <v>330</v>
      </c>
      <c r="I29" s="19" t="n">
        <f aca="false">1000*H29/$U29</f>
        <v>1557.52212389381</v>
      </c>
      <c r="J29" s="1" t="n">
        <v>4.14</v>
      </c>
      <c r="K29" s="1" t="n">
        <f aca="false">L29*$K$37/100</f>
        <v>331.5</v>
      </c>
      <c r="L29" s="1" t="n">
        <v>1950</v>
      </c>
      <c r="M29" s="19" t="n">
        <f aca="false">1000*L29/$U29</f>
        <v>9203.53982300885</v>
      </c>
      <c r="N29" s="1" t="n">
        <v>6.4</v>
      </c>
      <c r="O29" s="1" t="n">
        <v>2.1</v>
      </c>
      <c r="P29" s="1" t="n">
        <f aca="false">Q29*$P$37/100</f>
        <v>870.4</v>
      </c>
      <c r="Q29" s="1" t="n">
        <v>6400</v>
      </c>
      <c r="R29" s="19" t="n">
        <f aca="false">1000*P29/$U29</f>
        <v>4108.08259587021</v>
      </c>
      <c r="S29" s="1" t="n">
        <v>1.6</v>
      </c>
      <c r="T29" s="1" t="n">
        <v>1.34</v>
      </c>
      <c r="U29" s="1" t="n">
        <v>211.875</v>
      </c>
      <c r="V29" s="1" t="n">
        <f aca="false">100*U29/$U$36</f>
        <v>1.45522601797825</v>
      </c>
      <c r="W29" s="2" t="n">
        <f aca="false">H29+F29+B29+D29+K29+P29</f>
        <v>1776.8</v>
      </c>
      <c r="X29" s="2" t="n">
        <f aca="false">W29/U29</f>
        <v>8.38607669616519</v>
      </c>
      <c r="Z29" s="1" t="n">
        <f aca="false">-Y29+($V$45 + $V$46)*1000*V29/100</f>
        <v>651.593457035958</v>
      </c>
      <c r="AA29" s="1" t="n">
        <f aca="false">Z29/U29/10</f>
        <v>0.307536734884228</v>
      </c>
      <c r="AB29" s="1" t="n">
        <f aca="false">ROUND(Z29/U29 *100/1000, 2)</f>
        <v>0.31</v>
      </c>
      <c r="AD29" s="1" t="n">
        <f aca="false">-V29*($V$47)*10</f>
        <v>-349.25424431478</v>
      </c>
      <c r="AE29" s="1" t="n">
        <f aca="false">AD29/U29/10</f>
        <v>-0.16483976132851</v>
      </c>
      <c r="AH29" s="1" t="n">
        <v>306.8</v>
      </c>
      <c r="AM29" s="1" t="s">
        <v>94</v>
      </c>
      <c r="AN29" s="1" t="n">
        <v>1</v>
      </c>
      <c r="AO29" s="1" t="n">
        <v>95</v>
      </c>
      <c r="AP29" s="1" t="n">
        <f aca="false">AN29+AO29/100</f>
        <v>1.95</v>
      </c>
      <c r="AQ29" s="1" t="n">
        <f aca="false">AP29*1000</f>
        <v>1950</v>
      </c>
      <c r="AT29" s="22" t="s">
        <v>95</v>
      </c>
      <c r="AU29" s="1" t="n">
        <v>6</v>
      </c>
      <c r="AV29" s="1" t="n">
        <v>4</v>
      </c>
      <c r="AW29" s="22" t="n">
        <f aca="false">AU29+AV29/10</f>
        <v>6.4</v>
      </c>
      <c r="AX29" s="22" t="n">
        <f aca="false">1000*AW29</f>
        <v>6400</v>
      </c>
    </row>
    <row r="30" customFormat="false" ht="15" hidden="false" customHeight="true" outlineLevel="0" collapsed="false">
      <c r="A30" s="18" t="s">
        <v>96</v>
      </c>
      <c r="B30" s="19" t="n">
        <v>133</v>
      </c>
      <c r="C30" s="19" t="n">
        <f aca="false">1000*B30/$U30</f>
        <v>617.708255926284</v>
      </c>
      <c r="D30" s="20" t="n">
        <v>30</v>
      </c>
      <c r="E30" s="19" t="n">
        <f aca="false">1000*D30/$U30</f>
        <v>139.332689306681</v>
      </c>
      <c r="F30" s="21" t="n">
        <v>1.9</v>
      </c>
      <c r="G30" s="19" t="n">
        <f aca="false">1000*F30/$U30</f>
        <v>8.82440365608977</v>
      </c>
      <c r="H30" s="19" t="n">
        <v>121</v>
      </c>
      <c r="I30" s="19" t="n">
        <f aca="false">1000*H30/$U30</f>
        <v>561.975180203611</v>
      </c>
      <c r="J30" s="1" t="n">
        <v>0.87</v>
      </c>
      <c r="K30" s="1" t="n">
        <f aca="false">L30*$K$37/100</f>
        <v>105.4</v>
      </c>
      <c r="L30" s="1" t="n">
        <v>620</v>
      </c>
      <c r="M30" s="19" t="n">
        <f aca="false">1000*L30/$U30</f>
        <v>2879.5422456714</v>
      </c>
      <c r="N30" s="1" t="n">
        <v>3.2</v>
      </c>
      <c r="O30" s="1" t="n">
        <v>1.1</v>
      </c>
      <c r="P30" s="1" t="n">
        <f aca="false">Q30*$P$37/100</f>
        <v>435.2</v>
      </c>
      <c r="Q30" s="1" t="n">
        <v>3200</v>
      </c>
      <c r="R30" s="19" t="n">
        <f aca="false">1000*P30/$U30</f>
        <v>2021.25287954225</v>
      </c>
      <c r="S30" s="1" t="n">
        <v>2.2</v>
      </c>
      <c r="T30" s="1" t="n">
        <v>0.49</v>
      </c>
      <c r="U30" s="1" t="n">
        <v>215.312</v>
      </c>
      <c r="V30" s="1" t="n">
        <f aca="false">100*U30/$U$36</f>
        <v>1.47883244546517</v>
      </c>
      <c r="W30" s="2" t="n">
        <f aca="false">H30+F30+B30+D30+K30+P30</f>
        <v>826.5</v>
      </c>
      <c r="X30" s="2" t="n">
        <f aca="false">W30/U30</f>
        <v>3.83861559039905</v>
      </c>
      <c r="Z30" s="1" t="n">
        <f aca="false">-Y30+($V$45 + $V$46)*1000*V30/100</f>
        <v>662.163494613929</v>
      </c>
      <c r="AA30" s="1" t="n">
        <f aca="false">Z30/U30/10</f>
        <v>0.307536734884228</v>
      </c>
      <c r="AB30" s="1" t="n">
        <f aca="false">ROUND(Z30/U30 *100/1000, 2)</f>
        <v>0.31</v>
      </c>
      <c r="AD30" s="1" t="n">
        <f aca="false">-V30*($V$47)*10</f>
        <v>-354.919786911641</v>
      </c>
      <c r="AE30" s="1" t="n">
        <f aca="false">AD30/U30/10</f>
        <v>-0.16483976132851</v>
      </c>
      <c r="AH30" s="1" t="n">
        <v>380.1</v>
      </c>
      <c r="AM30" s="1" t="s">
        <v>97</v>
      </c>
      <c r="AN30" s="1" t="n">
        <v>0</v>
      </c>
      <c r="AO30" s="1" t="n">
        <v>62</v>
      </c>
      <c r="AP30" s="1" t="n">
        <f aca="false">AN30+AO30/100</f>
        <v>0.62</v>
      </c>
      <c r="AQ30" s="1" t="n">
        <f aca="false">AP30*1000</f>
        <v>620</v>
      </c>
      <c r="AT30" s="22" t="s">
        <v>96</v>
      </c>
      <c r="AU30" s="1" t="n">
        <v>3</v>
      </c>
      <c r="AV30" s="1" t="n">
        <v>2</v>
      </c>
      <c r="AW30" s="22" t="n">
        <f aca="false">AU30+AV30/10</f>
        <v>3.2</v>
      </c>
      <c r="AX30" s="22" t="n">
        <f aca="false">1000*AW30</f>
        <v>3200</v>
      </c>
    </row>
    <row r="31" customFormat="false" ht="15" hidden="false" customHeight="true" outlineLevel="0" collapsed="false">
      <c r="A31" s="23" t="s">
        <v>98</v>
      </c>
      <c r="B31" s="24" t="n">
        <v>76</v>
      </c>
      <c r="C31" s="19" t="n">
        <f aca="false">1000*B31/$U31</f>
        <v>781.105469793829</v>
      </c>
      <c r="D31" s="25" t="n">
        <v>37</v>
      </c>
      <c r="E31" s="19" t="n">
        <f aca="false">1000*D31/$U31</f>
        <v>380.275031346996</v>
      </c>
      <c r="F31" s="24" t="n">
        <v>0</v>
      </c>
      <c r="G31" s="19" t="n">
        <f aca="false">1000*F31/$U31</f>
        <v>0</v>
      </c>
      <c r="H31" s="24" t="n">
        <v>19</v>
      </c>
      <c r="I31" s="19" t="n">
        <f aca="false">1000*H31/$U31</f>
        <v>195.276367448457</v>
      </c>
      <c r="J31" s="1" t="n">
        <v>0.09</v>
      </c>
      <c r="K31" s="1" t="n">
        <f aca="false">L31*$K$37/100</f>
        <v>68</v>
      </c>
      <c r="L31" s="1" t="n">
        <v>400</v>
      </c>
      <c r="M31" s="19" t="n">
        <f aca="false">1000*L31/$U31</f>
        <v>4111.08141996752</v>
      </c>
      <c r="N31" s="1" t="n">
        <v>1.3</v>
      </c>
      <c r="O31" s="1" t="n">
        <v>0.4</v>
      </c>
      <c r="P31" s="1" t="n">
        <f aca="false">Q31*$P$37/100</f>
        <v>176.8</v>
      </c>
      <c r="Q31" s="1" t="n">
        <v>1300</v>
      </c>
      <c r="R31" s="19" t="n">
        <f aca="false">1000*P31/$U31</f>
        <v>1817.09798762565</v>
      </c>
      <c r="S31" s="1" t="n">
        <v>0.7</v>
      </c>
      <c r="T31" s="1" t="n">
        <v>0.63</v>
      </c>
      <c r="U31" s="1" t="n">
        <v>97.298</v>
      </c>
      <c r="V31" s="1" t="n">
        <f aca="false">100*U31/$U$36</f>
        <v>0.668274129072555</v>
      </c>
      <c r="W31" s="2" t="n">
        <f aca="false">H31+F31+B31+D31+K31+P31</f>
        <v>376.8</v>
      </c>
      <c r="X31" s="2" t="n">
        <f aca="false">W31/U31</f>
        <v>3.87263869760941</v>
      </c>
      <c r="Z31" s="1" t="n">
        <f aca="false">-Y31+($V$45 + $V$46)*1000*V31/100</f>
        <v>299.227092307656</v>
      </c>
      <c r="AA31" s="1" t="n">
        <f aca="false">Z31/U31/10</f>
        <v>0.307536734884228</v>
      </c>
      <c r="AB31" s="1" t="n">
        <f aca="false">ROUND(Z31/U31 *100/1000, 2)</f>
        <v>0.31</v>
      </c>
      <c r="AD31" s="1" t="n">
        <f aca="false">-V31*($V$47)*10</f>
        <v>-160.385790977413</v>
      </c>
      <c r="AE31" s="1" t="n">
        <f aca="false">AD31/U31/10</f>
        <v>-0.16483976132851</v>
      </c>
      <c r="AF31" s="31"/>
      <c r="AH31" s="1" t="n">
        <v>136.8</v>
      </c>
      <c r="AM31" s="1" t="s">
        <v>99</v>
      </c>
      <c r="AN31" s="1" t="n">
        <v>0</v>
      </c>
      <c r="AO31" s="1" t="n">
        <v>40</v>
      </c>
      <c r="AP31" s="1" t="n">
        <f aca="false">AN31+AO31/100</f>
        <v>0.4</v>
      </c>
      <c r="AQ31" s="1" t="n">
        <f aca="false">AP31*1000</f>
        <v>400</v>
      </c>
      <c r="AT31" s="22" t="s">
        <v>98</v>
      </c>
      <c r="AU31" s="1" t="n">
        <v>1</v>
      </c>
      <c r="AV31" s="1" t="n">
        <v>3</v>
      </c>
      <c r="AW31" s="22" t="n">
        <f aca="false">AU31+AV31/10</f>
        <v>1.3</v>
      </c>
      <c r="AX31" s="22" t="n">
        <f aca="false">1000*AW31</f>
        <v>1300</v>
      </c>
    </row>
    <row r="32" customFormat="false" ht="15" hidden="false" customHeight="true" outlineLevel="0" collapsed="false">
      <c r="A32" s="18" t="s">
        <v>100</v>
      </c>
      <c r="B32" s="19" t="n">
        <v>33</v>
      </c>
      <c r="C32" s="19" t="n">
        <f aca="false">1000*B32/$U32</f>
        <v>641.137728041033</v>
      </c>
      <c r="D32" s="20" t="n">
        <v>14</v>
      </c>
      <c r="E32" s="19" t="n">
        <f aca="false">1000*D32/$U32</f>
        <v>271.997824017408</v>
      </c>
      <c r="F32" s="21" t="n">
        <v>0.4</v>
      </c>
      <c r="G32" s="19" t="n">
        <f aca="false">1000*F32/$U32</f>
        <v>7.77136640049737</v>
      </c>
      <c r="H32" s="19" t="n">
        <v>75</v>
      </c>
      <c r="I32" s="19" t="n">
        <f aca="false">1000*H32/$U32</f>
        <v>1457.13120009326</v>
      </c>
      <c r="J32" s="1" t="n">
        <v>0.05</v>
      </c>
      <c r="K32" s="1" t="n">
        <f aca="false">L32*$K$37/100</f>
        <v>51</v>
      </c>
      <c r="L32" s="1" t="n">
        <v>300</v>
      </c>
      <c r="M32" s="19" t="n">
        <f aca="false">1000*L32/$U32</f>
        <v>5828.52480037303</v>
      </c>
      <c r="N32" s="1" t="n">
        <v>1.1</v>
      </c>
      <c r="O32" s="1" t="n">
        <v>0.4</v>
      </c>
      <c r="P32" s="1" t="n">
        <f aca="false">Q32*$P$37/100</f>
        <v>149.6</v>
      </c>
      <c r="Q32" s="1" t="n">
        <v>1100</v>
      </c>
      <c r="R32" s="19" t="n">
        <f aca="false">1000*P32/$U32</f>
        <v>2906.49103378602</v>
      </c>
      <c r="S32" s="1" t="n">
        <v>0.4</v>
      </c>
      <c r="T32" s="1" t="n">
        <v>0.93</v>
      </c>
      <c r="U32" s="1" t="n">
        <v>51.471</v>
      </c>
      <c r="V32" s="1" t="n">
        <f aca="false">100*U32/$U$36</f>
        <v>0.353519473139155</v>
      </c>
      <c r="W32" s="2" t="n">
        <f aca="false">H32+F32+B32+D32+K32+P32</f>
        <v>323</v>
      </c>
      <c r="X32" s="2" t="n">
        <f aca="false">W32/U32</f>
        <v>6.27537836840163</v>
      </c>
      <c r="Z32" s="1" t="n">
        <f aca="false">-Y32+($V$45 + $V$46)*1000*V32/100</f>
        <v>158.292232812261</v>
      </c>
      <c r="AA32" s="1" t="n">
        <f aca="false">Z32/U32/10</f>
        <v>0.307536734884228</v>
      </c>
      <c r="AB32" s="1" t="n">
        <f aca="false">ROUND(Z32/U32 *100/1000, 2)</f>
        <v>0.31</v>
      </c>
      <c r="AD32" s="1" t="n">
        <f aca="false">-V32*($V$47)*10</f>
        <v>-84.8446735533971</v>
      </c>
      <c r="AE32" s="1" t="n">
        <f aca="false">AD32/U32/10</f>
        <v>-0.16483976132851</v>
      </c>
      <c r="AH32" s="1" t="n">
        <v>70.5</v>
      </c>
      <c r="AM32" s="1" t="s">
        <v>101</v>
      </c>
      <c r="AN32" s="1" t="n">
        <v>0</v>
      </c>
      <c r="AO32" s="1" t="n">
        <v>30</v>
      </c>
      <c r="AP32" s="1" t="n">
        <f aca="false">AN32+AO32/100</f>
        <v>0.3</v>
      </c>
      <c r="AQ32" s="1" t="n">
        <f aca="false">AP32*1000</f>
        <v>300</v>
      </c>
      <c r="AT32" s="22" t="s">
        <v>100</v>
      </c>
      <c r="AU32" s="1" t="n">
        <v>1</v>
      </c>
      <c r="AV32" s="1" t="n">
        <v>1</v>
      </c>
      <c r="AW32" s="22" t="n">
        <f aca="false">AU32+AV32/10</f>
        <v>1.1</v>
      </c>
      <c r="AX32" s="22" t="n">
        <f aca="false">1000*AW32</f>
        <v>1100</v>
      </c>
    </row>
    <row r="33" customFormat="false" ht="15" hidden="false" customHeight="true" outlineLevel="0" collapsed="false">
      <c r="A33" s="23" t="s">
        <v>102</v>
      </c>
      <c r="B33" s="24" t="n">
        <v>683</v>
      </c>
      <c r="C33" s="19" t="n">
        <f aca="false">1000*B33/$U33</f>
        <v>562.985554433614</v>
      </c>
      <c r="D33" s="25" t="n">
        <v>830</v>
      </c>
      <c r="E33" s="19" t="n">
        <f aca="false">1000*D33/$U33</f>
        <v>684.155212562079</v>
      </c>
      <c r="F33" s="26" t="n">
        <v>240.6</v>
      </c>
      <c r="G33" s="19" t="n">
        <f aca="false">1000*F33/$U33</f>
        <v>198.32258330414</v>
      </c>
      <c r="H33" s="24" t="n">
        <v>2151</v>
      </c>
      <c r="I33" s="19" t="n">
        <f aca="false">1000*H33/$U33</f>
        <v>1773.033568941</v>
      </c>
      <c r="J33" s="1" t="n">
        <v>15.18</v>
      </c>
      <c r="K33" s="1" t="n">
        <f aca="false">L33*$K$37/100</f>
        <v>1586.1</v>
      </c>
      <c r="L33" s="1" t="n">
        <v>9330</v>
      </c>
      <c r="M33" s="19" t="n">
        <f aca="false">1000*L33/$U33</f>
        <v>7690.56401590867</v>
      </c>
      <c r="N33" s="1" t="n">
        <v>30.9</v>
      </c>
      <c r="O33" s="1" t="n">
        <v>10.3</v>
      </c>
      <c r="P33" s="1" t="n">
        <f aca="false">Q33*$P$37/100</f>
        <v>4202.4</v>
      </c>
      <c r="Q33" s="1" t="n">
        <v>30900</v>
      </c>
      <c r="R33" s="19" t="n">
        <f aca="false">1000*P33/$U33</f>
        <v>3463.96851237455</v>
      </c>
      <c r="S33" s="1" t="n">
        <v>8.7</v>
      </c>
      <c r="T33" s="1" t="n">
        <v>1.19</v>
      </c>
      <c r="U33" s="1" t="n">
        <v>1213.175</v>
      </c>
      <c r="V33" s="1" t="n">
        <f aca="false">100*U33/$U$36</f>
        <v>8.33247822707144</v>
      </c>
      <c r="W33" s="2" t="n">
        <f aca="false">H33+F33+B33+D33+K33+P33</f>
        <v>9693.1</v>
      </c>
      <c r="X33" s="2" t="n">
        <f aca="false">W33/U33</f>
        <v>7.98986131431986</v>
      </c>
      <c r="Y33" s="2" t="n">
        <f aca="false">B33+F33</f>
        <v>923.6</v>
      </c>
      <c r="Z33" s="1" t="n">
        <f aca="false">-Y33+($V$45 + $V$46)*1000*V33/100</f>
        <v>2807.35878343173</v>
      </c>
      <c r="AA33" s="1" t="n">
        <f aca="false">Z33/U33/10</f>
        <v>0.231405921110453</v>
      </c>
      <c r="AB33" s="1" t="n">
        <f aca="false">ROUND(Z33/U33 *100/1000, 2)</f>
        <v>0.23</v>
      </c>
      <c r="AD33" s="1" t="n">
        <f aca="false">-V33*($V$47)*10</f>
        <v>-1999.79477449715</v>
      </c>
      <c r="AE33" s="1" t="n">
        <f aca="false">AD33/U33/10</f>
        <v>-0.16483976132851</v>
      </c>
      <c r="AH33" s="1" t="n">
        <v>1687.2</v>
      </c>
      <c r="AM33" s="1" t="s">
        <v>103</v>
      </c>
      <c r="AN33" s="1" t="n">
        <v>9</v>
      </c>
      <c r="AO33" s="1" t="n">
        <v>33</v>
      </c>
      <c r="AP33" s="1" t="n">
        <f aca="false">AN33+AO33/100</f>
        <v>9.33</v>
      </c>
      <c r="AQ33" s="1" t="n">
        <f aca="false">AP33*1000</f>
        <v>9330</v>
      </c>
      <c r="AT33" s="22" t="s">
        <v>104</v>
      </c>
      <c r="AU33" s="1" t="n">
        <v>30</v>
      </c>
      <c r="AV33" s="1" t="n">
        <v>9</v>
      </c>
      <c r="AW33" s="22" t="n">
        <f aca="false">AU33+AV33/10</f>
        <v>30.9</v>
      </c>
      <c r="AX33" s="22" t="n">
        <f aca="false">1000*AW33</f>
        <v>30900</v>
      </c>
    </row>
    <row r="34" customFormat="false" ht="15" hidden="false" customHeight="true" outlineLevel="0" collapsed="false">
      <c r="A34" s="18" t="s">
        <v>105</v>
      </c>
      <c r="B34" s="19" t="n">
        <v>189</v>
      </c>
      <c r="C34" s="19" t="n">
        <f aca="false">1000*B34/$U34</f>
        <v>341.958899796996</v>
      </c>
      <c r="D34" s="20" t="n">
        <v>601</v>
      </c>
      <c r="E34" s="19" t="n">
        <f aca="false">1000*D34/$U34</f>
        <v>1087.39311522748</v>
      </c>
      <c r="F34" s="21" t="n">
        <v>245.1</v>
      </c>
      <c r="G34" s="19" t="n">
        <f aca="false">1000*F34/$U34</f>
        <v>443.460985927215</v>
      </c>
      <c r="H34" s="19" t="n">
        <v>712</v>
      </c>
      <c r="I34" s="19" t="n">
        <f aca="false">1000*H34/$U34</f>
        <v>1288.22611987016</v>
      </c>
      <c r="J34" s="1" t="n">
        <v>1.54</v>
      </c>
      <c r="K34" s="1" t="n">
        <f aca="false">L34*$K$37/100</f>
        <v>197.2</v>
      </c>
      <c r="L34" s="1" t="n">
        <v>1160</v>
      </c>
      <c r="M34" s="19" t="n">
        <f aca="false">1000*L34/$U34</f>
        <v>2098.79536383341</v>
      </c>
      <c r="N34" s="1" t="n">
        <v>7.1</v>
      </c>
      <c r="O34" s="1" t="n">
        <v>2.4</v>
      </c>
      <c r="P34" s="1" t="n">
        <f aca="false">Q34*$P$37/100</f>
        <v>965.6</v>
      </c>
      <c r="Q34" s="1" t="n">
        <v>7100</v>
      </c>
      <c r="R34" s="19" t="n">
        <f aca="false">1000*P34/$U34</f>
        <v>1747.0662097565</v>
      </c>
      <c r="S34" s="1" t="n">
        <v>3</v>
      </c>
      <c r="T34" s="1" t="n">
        <v>0.79</v>
      </c>
      <c r="U34" s="1" t="n">
        <v>552.698</v>
      </c>
      <c r="V34" s="1" t="n">
        <f aca="false">100*U34/$U$36</f>
        <v>3.79610860028102</v>
      </c>
      <c r="W34" s="2" t="n">
        <f aca="false">H34+F34+B34+D34+K34+P34</f>
        <v>2909.9</v>
      </c>
      <c r="X34" s="2" t="n">
        <f aca="false">W34/U34</f>
        <v>5.26490054243004</v>
      </c>
      <c r="Z34" s="1" t="n">
        <f aca="false">-Y34+($V$45 + $V$46)*1000*V34/100</f>
        <v>1699.74938297043</v>
      </c>
      <c r="AA34" s="1" t="n">
        <f aca="false">Z34/U34/10</f>
        <v>0.307536734884228</v>
      </c>
      <c r="AB34" s="1" t="n">
        <f aca="false">ROUND(Z34/U34 *100/1000, 2)</f>
        <v>0.31</v>
      </c>
      <c r="AD34" s="1" t="n">
        <f aca="false">-V34*($V$47)*10</f>
        <v>-911.066064067446</v>
      </c>
      <c r="AE34" s="1" t="n">
        <f aca="false">AD34/U34/10</f>
        <v>-0.16483976132851</v>
      </c>
      <c r="AH34" s="1" t="n">
        <v>601.2</v>
      </c>
      <c r="AM34" s="1" t="s">
        <v>106</v>
      </c>
      <c r="AN34" s="1" t="n">
        <v>1</v>
      </c>
      <c r="AO34" s="1" t="n">
        <v>16</v>
      </c>
      <c r="AP34" s="1" t="n">
        <f aca="false">AN34+AO34/100</f>
        <v>1.16</v>
      </c>
      <c r="AQ34" s="1" t="n">
        <f aca="false">AP34*1000</f>
        <v>1160</v>
      </c>
      <c r="AT34" s="22" t="s">
        <v>107</v>
      </c>
      <c r="AU34" s="1" t="n">
        <v>7</v>
      </c>
      <c r="AV34" s="1" t="n">
        <v>1</v>
      </c>
      <c r="AW34" s="22" t="n">
        <f aca="false">AU34+AV34/10</f>
        <v>7.1</v>
      </c>
      <c r="AX34" s="22" t="n">
        <f aca="false">1000*AW34</f>
        <v>7100</v>
      </c>
    </row>
    <row r="35" s="36" customFormat="true" ht="15" hidden="false" customHeight="true" outlineLevel="0" collapsed="false">
      <c r="A35" s="32" t="s">
        <v>108</v>
      </c>
      <c r="B35" s="33" t="n">
        <v>5847</v>
      </c>
      <c r="C35" s="33"/>
      <c r="D35" s="34" t="n">
        <v>9557</v>
      </c>
      <c r="E35" s="33"/>
      <c r="F35" s="35" t="n">
        <v>8334.6</v>
      </c>
      <c r="G35" s="35"/>
      <c r="H35" s="33" t="n">
        <v>26264</v>
      </c>
      <c r="I35" s="33"/>
      <c r="K35" s="1" t="n">
        <f aca="false">SUM(K8:K34)</f>
        <v>8092</v>
      </c>
      <c r="L35" s="1"/>
      <c r="P35" s="1" t="n">
        <f aca="false">SUM(P8:P34)</f>
        <v>40677.6</v>
      </c>
      <c r="Q35" s="1"/>
      <c r="U35" s="1"/>
      <c r="V35" s="36" t="n">
        <v>100</v>
      </c>
      <c r="W35" s="2" t="n">
        <f aca="false">H35+F35+B35+D35+L35+P35</f>
        <v>90680.2</v>
      </c>
      <c r="X35" s="2"/>
      <c r="Y35" s="2"/>
      <c r="Z35" s="1" t="n">
        <f aca="false">SUM(Z8:Z34)</f>
        <v>38340.8</v>
      </c>
      <c r="AA35" s="1"/>
      <c r="AB35" s="36" t="e">
        <f aca="false">ROUND(Z35/U35 *100/1000, 2)</f>
        <v>#DIV/0!</v>
      </c>
      <c r="AD35" s="1" t="n">
        <f aca="false">-V35*($V$47)*10</f>
        <v>-24000</v>
      </c>
      <c r="AE35" s="1"/>
      <c r="AH35" s="36" t="n">
        <v>18796</v>
      </c>
      <c r="AQ35" s="36" t="n">
        <f aca="false">SUM(AQ8:AQ34)</f>
        <v>47600</v>
      </c>
      <c r="AW35" s="36" t="n">
        <f aca="false">SUM(AW8:AW34)</f>
        <v>299.1</v>
      </c>
      <c r="XFC35" s="0"/>
      <c r="XFD35" s="0"/>
    </row>
    <row r="36" customFormat="false" ht="13.8" hidden="false" customHeight="false" outlineLevel="0" collapsed="false">
      <c r="B36" s="1" t="n">
        <f aca="false">SUM(B8:B34)</f>
        <v>5847</v>
      </c>
      <c r="D36" s="1" t="n">
        <f aca="false">SUM(D8:D34)</f>
        <v>9561</v>
      </c>
      <c r="F36" s="1" t="n">
        <f aca="false">SUM(F8:F34)</f>
        <v>8334.5</v>
      </c>
      <c r="H36" s="1" t="n">
        <f aca="false">SUM(H8:H34)</f>
        <v>26264</v>
      </c>
      <c r="L36" s="1" t="n">
        <f aca="false">SUM(L8:L34)</f>
        <v>47600</v>
      </c>
      <c r="P36" s="1" t="n">
        <f aca="false">SUM(P8:P34)</f>
        <v>40677.6</v>
      </c>
      <c r="Q36" s="1" t="n">
        <f aca="false">SUM(Q8:Q34)</f>
        <v>299100</v>
      </c>
      <c r="U36" s="1" t="n">
        <f aca="false">SUM(U8:U34)</f>
        <v>14559.594</v>
      </c>
      <c r="W36" s="2" t="n">
        <f aca="false">SUM(W8:W34)</f>
        <v>98776.1</v>
      </c>
    </row>
    <row r="37" customFormat="false" ht="15" hidden="false" customHeight="true" outlineLevel="0" collapsed="false">
      <c r="J37" s="37" t="n">
        <v>93</v>
      </c>
      <c r="K37" s="38" t="n">
        <v>17</v>
      </c>
      <c r="O37" s="37" t="n">
        <v>44</v>
      </c>
      <c r="P37" s="38" t="n">
        <v>13.6</v>
      </c>
    </row>
    <row r="38" customFormat="false" ht="13.8" hidden="false" customHeight="false" outlineLevel="0" collapsed="false">
      <c r="B38" s="39" t="s">
        <v>109</v>
      </c>
      <c r="C38" s="40" t="n">
        <f aca="false">SUM(B35:P35)</f>
        <v>98772.2</v>
      </c>
      <c r="D38" s="40"/>
      <c r="E38" s="40"/>
      <c r="K38" s="1" t="s">
        <v>110</v>
      </c>
      <c r="P38" s="41" t="s">
        <v>111</v>
      </c>
    </row>
    <row r="39" customFormat="false" ht="13.8" hidden="false" customHeight="false" outlineLevel="0" collapsed="false">
      <c r="B39" s="39"/>
      <c r="C39" s="40"/>
      <c r="D39" s="40"/>
      <c r="E39" s="40"/>
    </row>
    <row r="40" customFormat="false" ht="16.4" hidden="false" customHeight="false" outlineLevel="0" collapsed="false">
      <c r="B40" s="39"/>
      <c r="C40" s="40"/>
      <c r="D40" s="40"/>
      <c r="E40" s="40"/>
      <c r="U40" s="42" t="s">
        <v>112</v>
      </c>
      <c r="V40" s="43" t="n">
        <v>192.8</v>
      </c>
      <c r="W40" s="44"/>
      <c r="X40" s="44"/>
      <c r="Y40" s="44"/>
      <c r="Z40" s="22"/>
      <c r="AA40" s="22"/>
    </row>
    <row r="41" customFormat="false" ht="13.8" hidden="false" customHeight="false" outlineLevel="0" collapsed="false">
      <c r="U41" s="42" t="s">
        <v>113</v>
      </c>
      <c r="V41" s="42" t="n">
        <f aca="false">V40*0.7</f>
        <v>134.96</v>
      </c>
      <c r="W41" s="44"/>
      <c r="X41" s="44"/>
      <c r="Y41" s="44"/>
      <c r="Z41" s="22"/>
      <c r="AA41" s="22"/>
    </row>
    <row r="42" customFormat="false" ht="13.8" hidden="false" customHeight="false" outlineLevel="0" collapsed="false">
      <c r="U42" s="42"/>
      <c r="V42" s="42"/>
      <c r="W42" s="44"/>
      <c r="X42" s="44"/>
      <c r="Y42" s="44"/>
      <c r="Z42" s="22"/>
      <c r="AA42" s="22"/>
    </row>
    <row r="43" customFormat="false" ht="13.8" hidden="false" customHeight="false" outlineLevel="0" collapsed="false">
      <c r="U43" s="45" t="s">
        <v>114</v>
      </c>
      <c r="V43" s="46" t="n">
        <v>30</v>
      </c>
      <c r="W43" s="44"/>
      <c r="X43" s="44"/>
      <c r="Y43" s="44"/>
      <c r="Z43" s="22"/>
      <c r="AA43" s="22"/>
    </row>
    <row r="44" customFormat="false" ht="13.8" hidden="false" customHeight="false" outlineLevel="0" collapsed="false">
      <c r="S44" s="46" t="s">
        <v>115</v>
      </c>
      <c r="U44" s="45" t="s">
        <v>116</v>
      </c>
      <c r="V44" s="45" t="n">
        <f aca="false">W36/1000 -V43</f>
        <v>68.7761</v>
      </c>
      <c r="W44" s="44"/>
      <c r="X44" s="44"/>
      <c r="Y44" s="44"/>
      <c r="Z44" s="22"/>
      <c r="AA44" s="22"/>
    </row>
    <row r="45" customFormat="false" ht="13.8" hidden="false" customHeight="false" outlineLevel="0" collapsed="false">
      <c r="U45" s="45" t="s">
        <v>117</v>
      </c>
      <c r="V45" s="45" t="n">
        <f aca="false">V44-V46-V47</f>
        <v>30.7761</v>
      </c>
      <c r="W45" s="44"/>
      <c r="X45" s="44"/>
      <c r="Y45" s="44"/>
      <c r="Z45" s="22"/>
      <c r="AA45" s="22"/>
    </row>
    <row r="46" customFormat="false" ht="13.8" hidden="false" customHeight="false" outlineLevel="0" collapsed="false">
      <c r="U46" s="45" t="s">
        <v>118</v>
      </c>
      <c r="V46" s="46" t="n">
        <v>14</v>
      </c>
      <c r="W46" s="44"/>
      <c r="X46" s="44"/>
      <c r="Y46" s="44"/>
      <c r="Z46" s="22"/>
      <c r="AA46" s="22"/>
    </row>
    <row r="47" customFormat="false" ht="13.8" hidden="false" customHeight="false" outlineLevel="0" collapsed="false">
      <c r="U47" s="45" t="s">
        <v>119</v>
      </c>
      <c r="V47" s="46" t="n">
        <v>24</v>
      </c>
      <c r="W47" s="44"/>
      <c r="X47" s="44"/>
      <c r="Y47" s="44"/>
      <c r="Z47" s="22"/>
      <c r="AA47" s="22"/>
    </row>
    <row r="48" customFormat="false" ht="13.8" hidden="false" customHeight="false" outlineLevel="0" collapsed="false">
      <c r="B48" s="22"/>
      <c r="C48" s="22"/>
      <c r="D48" s="22"/>
      <c r="E48" s="22"/>
      <c r="F48" s="22"/>
      <c r="G48" s="22"/>
      <c r="H48" s="22"/>
      <c r="I48" s="22"/>
      <c r="U48" s="45" t="s">
        <v>120</v>
      </c>
      <c r="V48" s="45" t="n">
        <f aca="false">V40+V46</f>
        <v>206.8</v>
      </c>
      <c r="W48" s="44"/>
      <c r="X48" s="44"/>
      <c r="Y48" s="44"/>
      <c r="Z48" s="22"/>
      <c r="AA48" s="22"/>
    </row>
    <row r="49" customFormat="false" ht="13.8" hidden="false" customHeight="false" outlineLevel="0" collapsed="false">
      <c r="B49" s="22"/>
      <c r="C49" s="22"/>
      <c r="D49" s="22"/>
      <c r="E49" s="22"/>
      <c r="F49" s="22"/>
      <c r="G49" s="22"/>
      <c r="H49" s="22"/>
      <c r="I49" s="22"/>
      <c r="U49" s="45" t="s">
        <v>113</v>
      </c>
      <c r="V49" s="45" t="n">
        <f aca="false">V41-V45</f>
        <v>104.1839</v>
      </c>
      <c r="W49" s="44"/>
      <c r="X49" s="44"/>
      <c r="Y49" s="44"/>
      <c r="Z49" s="22"/>
      <c r="AA49" s="22"/>
    </row>
    <row r="50" customFormat="false" ht="13.8" hidden="false" customHeight="false" outlineLevel="0" collapsed="false">
      <c r="B50" s="22"/>
      <c r="C50" s="22"/>
      <c r="D50" s="22"/>
      <c r="E50" s="22"/>
      <c r="F50" s="22"/>
      <c r="G50" s="22"/>
      <c r="H50" s="22"/>
      <c r="I50" s="22"/>
      <c r="U50" s="45" t="s">
        <v>121</v>
      </c>
      <c r="V50" s="45" t="n">
        <f aca="false">V49/V48</f>
        <v>0.503790618955513</v>
      </c>
      <c r="W50" s="44"/>
      <c r="X50" s="44"/>
      <c r="Y50" s="44"/>
      <c r="Z50" s="22"/>
      <c r="AA50" s="22"/>
    </row>
    <row r="53" customFormat="false" ht="18" hidden="false" customHeight="true" outlineLevel="0" collapsed="false">
      <c r="A53" s="47"/>
      <c r="P53" s="1"/>
      <c r="Q53" s="1"/>
      <c r="R53" s="1"/>
      <c r="Z53" s="1" t="s">
        <v>122</v>
      </c>
      <c r="AD53" s="1" t="s">
        <v>123</v>
      </c>
      <c r="AE53" s="1"/>
    </row>
    <row r="55" customFormat="false" ht="18" hidden="false" customHeight="true" outlineLevel="0" collapsed="false">
      <c r="A55" s="47"/>
      <c r="K55" s="1" t="s">
        <v>5</v>
      </c>
      <c r="P55" s="1" t="s">
        <v>33</v>
      </c>
      <c r="Q55" s="1"/>
      <c r="R55" s="1"/>
    </row>
  </sheetData>
  <mergeCells count="3">
    <mergeCell ref="A1:A3"/>
    <mergeCell ref="B38:B40"/>
    <mergeCell ref="C38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897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2026-08-25T09:17:27Z</dcterms:created>
  <dc:creator>openpyxl</dc:creator>
  <dc:description/>
  <dc:language>fr-FR</dc:language>
  <cp:lastModifiedBy/>
  <dcterms:modified xsi:type="dcterms:W3CDTF">2026-09-04T17:57:47Z</dcterms:modified>
  <cp:revision>34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