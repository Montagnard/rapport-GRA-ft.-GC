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abre\Documents\www\rapport-GRA-ft.-GC\"/>
    </mc:Choice>
  </mc:AlternateContent>
  <bookViews>
    <workbookView xWindow="0" yWindow="0" windowWidth="16380" windowHeight="8196" tabRatio="500"/>
  </bookViews>
  <sheets>
    <sheet name="Combined_2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45" i="1" l="1"/>
  <c r="T38" i="1"/>
  <c r="K33" i="1"/>
  <c r="H33" i="1"/>
  <c r="F33" i="1"/>
  <c r="D33" i="1"/>
  <c r="B33" i="1"/>
  <c r="Y32" i="1"/>
  <c r="K32" i="1"/>
  <c r="U32" i="1" s="1"/>
  <c r="AJ31" i="1"/>
  <c r="AK31" i="1" s="1"/>
  <c r="Y31" i="1"/>
  <c r="O31" i="1"/>
  <c r="U31" i="1" s="1"/>
  <c r="L31" i="1"/>
  <c r="I31" i="1"/>
  <c r="G31" i="1"/>
  <c r="E31" i="1"/>
  <c r="C31" i="1"/>
  <c r="AJ30" i="1"/>
  <c r="AK30" i="1" s="1"/>
  <c r="Y30" i="1"/>
  <c r="U30" i="1"/>
  <c r="P30" i="1"/>
  <c r="O30" i="1"/>
  <c r="L30" i="1"/>
  <c r="I30" i="1"/>
  <c r="G30" i="1"/>
  <c r="E30" i="1"/>
  <c r="C30" i="1"/>
  <c r="AJ29" i="1"/>
  <c r="AK29" i="1" s="1"/>
  <c r="Y29" i="1"/>
  <c r="O29" i="1"/>
  <c r="P29" i="1" s="1"/>
  <c r="L29" i="1"/>
  <c r="I29" i="1"/>
  <c r="G29" i="1"/>
  <c r="E29" i="1"/>
  <c r="C29" i="1"/>
  <c r="AJ28" i="1"/>
  <c r="AK28" i="1" s="1"/>
  <c r="Y28" i="1"/>
  <c r="O28" i="1"/>
  <c r="U28" i="1" s="1"/>
  <c r="L28" i="1"/>
  <c r="I28" i="1"/>
  <c r="G28" i="1"/>
  <c r="E28" i="1"/>
  <c r="C28" i="1"/>
  <c r="AJ27" i="1"/>
  <c r="AK27" i="1" s="1"/>
  <c r="Y27" i="1"/>
  <c r="U27" i="1"/>
  <c r="O27" i="1"/>
  <c r="P27" i="1" s="1"/>
  <c r="L27" i="1"/>
  <c r="I27" i="1"/>
  <c r="G27" i="1"/>
  <c r="E27" i="1"/>
  <c r="C27" i="1"/>
  <c r="AJ26" i="1"/>
  <c r="AK26" i="1" s="1"/>
  <c r="Y26" i="1"/>
  <c r="O26" i="1"/>
  <c r="P26" i="1" s="1"/>
  <c r="L26" i="1"/>
  <c r="I26" i="1"/>
  <c r="G26" i="1"/>
  <c r="E26" i="1"/>
  <c r="C26" i="1"/>
  <c r="AK25" i="1"/>
  <c r="AJ25" i="1"/>
  <c r="Y25" i="1"/>
  <c r="U25" i="1"/>
  <c r="O25" i="1"/>
  <c r="P25" i="1" s="1"/>
  <c r="L25" i="1"/>
  <c r="I25" i="1"/>
  <c r="G25" i="1"/>
  <c r="E25" i="1"/>
  <c r="C25" i="1"/>
  <c r="AK24" i="1"/>
  <c r="AJ24" i="1"/>
  <c r="Y24" i="1"/>
  <c r="O24" i="1"/>
  <c r="U24" i="1" s="1"/>
  <c r="L24" i="1"/>
  <c r="I24" i="1"/>
  <c r="G24" i="1"/>
  <c r="E24" i="1"/>
  <c r="C24" i="1"/>
  <c r="AJ23" i="1"/>
  <c r="AK23" i="1" s="1"/>
  <c r="Y23" i="1"/>
  <c r="P23" i="1"/>
  <c r="O23" i="1"/>
  <c r="U23" i="1" s="1"/>
  <c r="L23" i="1"/>
  <c r="I23" i="1"/>
  <c r="G23" i="1"/>
  <c r="E23" i="1"/>
  <c r="C23" i="1"/>
  <c r="AJ22" i="1"/>
  <c r="AK22" i="1" s="1"/>
  <c r="Y22" i="1"/>
  <c r="U22" i="1"/>
  <c r="P22" i="1"/>
  <c r="O22" i="1"/>
  <c r="L22" i="1"/>
  <c r="I22" i="1"/>
  <c r="G22" i="1"/>
  <c r="E22" i="1"/>
  <c r="C22" i="1"/>
  <c r="AJ21" i="1"/>
  <c r="AK21" i="1" s="1"/>
  <c r="Y21" i="1"/>
  <c r="O21" i="1"/>
  <c r="U21" i="1" s="1"/>
  <c r="L21" i="1"/>
  <c r="I21" i="1"/>
  <c r="G21" i="1"/>
  <c r="E21" i="1"/>
  <c r="C21" i="1"/>
  <c r="AJ20" i="1"/>
  <c r="AK20" i="1" s="1"/>
  <c r="Y20" i="1"/>
  <c r="O20" i="1"/>
  <c r="U20" i="1" s="1"/>
  <c r="L20" i="1"/>
  <c r="I20" i="1"/>
  <c r="G20" i="1"/>
  <c r="E20" i="1"/>
  <c r="C20" i="1"/>
  <c r="AJ19" i="1"/>
  <c r="AK19" i="1" s="1"/>
  <c r="Y19" i="1"/>
  <c r="O19" i="1"/>
  <c r="P19" i="1" s="1"/>
  <c r="L19" i="1"/>
  <c r="I19" i="1"/>
  <c r="G19" i="1"/>
  <c r="E19" i="1"/>
  <c r="C19" i="1"/>
  <c r="AK18" i="1"/>
  <c r="AJ18" i="1"/>
  <c r="Y18" i="1"/>
  <c r="O18" i="1"/>
  <c r="U18" i="1" s="1"/>
  <c r="L18" i="1"/>
  <c r="I18" i="1"/>
  <c r="G18" i="1"/>
  <c r="E18" i="1"/>
  <c r="C18" i="1"/>
  <c r="AJ17" i="1"/>
  <c r="AK17" i="1" s="1"/>
  <c r="Y17" i="1"/>
  <c r="U17" i="1"/>
  <c r="O17" i="1"/>
  <c r="P17" i="1" s="1"/>
  <c r="L17" i="1"/>
  <c r="I17" i="1"/>
  <c r="G17" i="1"/>
  <c r="E17" i="1"/>
  <c r="C17" i="1"/>
  <c r="AK16" i="1"/>
  <c r="AJ16" i="1"/>
  <c r="Y16" i="1"/>
  <c r="U16" i="1"/>
  <c r="P16" i="1"/>
  <c r="O16" i="1"/>
  <c r="L16" i="1"/>
  <c r="I16" i="1"/>
  <c r="G16" i="1"/>
  <c r="E16" i="1"/>
  <c r="C16" i="1"/>
  <c r="AJ15" i="1"/>
  <c r="AK15" i="1" s="1"/>
  <c r="Y15" i="1"/>
  <c r="O15" i="1"/>
  <c r="U15" i="1" s="1"/>
  <c r="L15" i="1"/>
  <c r="I15" i="1"/>
  <c r="G15" i="1"/>
  <c r="E15" i="1"/>
  <c r="C15" i="1"/>
  <c r="AJ14" i="1"/>
  <c r="AK14" i="1" s="1"/>
  <c r="Y14" i="1"/>
  <c r="U14" i="1"/>
  <c r="P14" i="1"/>
  <c r="O14" i="1"/>
  <c r="L14" i="1"/>
  <c r="I14" i="1"/>
  <c r="G14" i="1"/>
  <c r="E14" i="1"/>
  <c r="C14" i="1"/>
  <c r="AJ13" i="1"/>
  <c r="AK13" i="1" s="1"/>
  <c r="Y13" i="1"/>
  <c r="O13" i="1"/>
  <c r="P13" i="1" s="1"/>
  <c r="L13" i="1"/>
  <c r="I13" i="1"/>
  <c r="G13" i="1"/>
  <c r="E13" i="1"/>
  <c r="C13" i="1"/>
  <c r="AJ12" i="1"/>
  <c r="AK12" i="1" s="1"/>
  <c r="Y12" i="1"/>
  <c r="O12" i="1"/>
  <c r="U12" i="1" s="1"/>
  <c r="L12" i="1"/>
  <c r="I12" i="1"/>
  <c r="G12" i="1"/>
  <c r="E12" i="1"/>
  <c r="C12" i="1"/>
  <c r="AK11" i="1"/>
  <c r="AJ11" i="1"/>
  <c r="Y11" i="1"/>
  <c r="U11" i="1"/>
  <c r="O11" i="1"/>
  <c r="P11" i="1" s="1"/>
  <c r="L11" i="1"/>
  <c r="I11" i="1"/>
  <c r="G11" i="1"/>
  <c r="E11" i="1"/>
  <c r="C11" i="1"/>
  <c r="AJ10" i="1"/>
  <c r="AK10" i="1" s="1"/>
  <c r="Y10" i="1"/>
  <c r="O10" i="1"/>
  <c r="P10" i="1" s="1"/>
  <c r="L10" i="1"/>
  <c r="I10" i="1"/>
  <c r="G10" i="1"/>
  <c r="E10" i="1"/>
  <c r="C10" i="1"/>
  <c r="AK9" i="1"/>
  <c r="AJ9" i="1"/>
  <c r="Y9" i="1"/>
  <c r="U9" i="1"/>
  <c r="O9" i="1"/>
  <c r="P9" i="1" s="1"/>
  <c r="L9" i="1"/>
  <c r="I9" i="1"/>
  <c r="G9" i="1"/>
  <c r="E9" i="1"/>
  <c r="C9" i="1"/>
  <c r="AK8" i="1"/>
  <c r="AJ8" i="1"/>
  <c r="Y8" i="1"/>
  <c r="O8" i="1"/>
  <c r="U8" i="1" s="1"/>
  <c r="L8" i="1"/>
  <c r="I8" i="1"/>
  <c r="G8" i="1"/>
  <c r="E8" i="1"/>
  <c r="C8" i="1"/>
  <c r="AJ7" i="1"/>
  <c r="AK7" i="1" s="1"/>
  <c r="Y7" i="1"/>
  <c r="P7" i="1"/>
  <c r="O7" i="1"/>
  <c r="U7" i="1" s="1"/>
  <c r="L7" i="1"/>
  <c r="I7" i="1"/>
  <c r="G7" i="1"/>
  <c r="E7" i="1"/>
  <c r="C7" i="1"/>
  <c r="AJ6" i="1"/>
  <c r="AK6" i="1" s="1"/>
  <c r="Y6" i="1"/>
  <c r="U6" i="1"/>
  <c r="P6" i="1"/>
  <c r="O6" i="1"/>
  <c r="L6" i="1"/>
  <c r="I6" i="1"/>
  <c r="G6" i="1"/>
  <c r="E6" i="1"/>
  <c r="C6" i="1"/>
  <c r="AJ5" i="1"/>
  <c r="AK5" i="1" s="1"/>
  <c r="Y5" i="1"/>
  <c r="O5" i="1"/>
  <c r="O32" i="1" s="1"/>
  <c r="C35" i="1" s="1"/>
  <c r="L5" i="1"/>
  <c r="I5" i="1"/>
  <c r="G5" i="1"/>
  <c r="E5" i="1"/>
  <c r="C5" i="1"/>
  <c r="AK32" i="1" l="1"/>
  <c r="P5" i="1"/>
  <c r="U10" i="1"/>
  <c r="P15" i="1"/>
  <c r="U26" i="1"/>
  <c r="P31" i="1"/>
  <c r="P21" i="1"/>
  <c r="P20" i="1"/>
  <c r="U5" i="1"/>
  <c r="U13" i="1"/>
  <c r="P18" i="1"/>
  <c r="U29" i="1"/>
  <c r="O33" i="1"/>
  <c r="P8" i="1"/>
  <c r="U19" i="1"/>
  <c r="P24" i="1"/>
  <c r="P12" i="1"/>
  <c r="P28" i="1"/>
  <c r="U33" i="1" l="1"/>
  <c r="T41" i="1" s="1"/>
  <c r="T42" i="1" s="1"/>
  <c r="V5" i="1" s="1"/>
  <c r="W5" i="1" l="1"/>
  <c r="V29" i="1"/>
  <c r="W29" i="1" s="1"/>
  <c r="T46" i="1"/>
  <c r="T47" i="1" s="1"/>
  <c r="V6" i="1"/>
  <c r="W6" i="1" s="1"/>
  <c r="V22" i="1"/>
  <c r="W22" i="1" s="1"/>
  <c r="V31" i="1"/>
  <c r="W31" i="1" s="1"/>
  <c r="V28" i="1"/>
  <c r="W28" i="1" s="1"/>
  <c r="V9" i="1"/>
  <c r="W9" i="1" s="1"/>
  <c r="V32" i="1"/>
  <c r="W32" i="1" s="1"/>
  <c r="V18" i="1"/>
  <c r="W18" i="1" s="1"/>
  <c r="V21" i="1"/>
  <c r="W21" i="1" s="1"/>
  <c r="V16" i="1"/>
  <c r="W16" i="1" s="1"/>
  <c r="V20" i="1"/>
  <c r="W20" i="1" s="1"/>
  <c r="V14" i="1"/>
  <c r="W14" i="1" s="1"/>
  <c r="V23" i="1"/>
  <c r="W23" i="1" s="1"/>
  <c r="V25" i="1"/>
  <c r="W25" i="1" s="1"/>
  <c r="V7" i="1"/>
  <c r="W7" i="1" s="1"/>
  <c r="V15" i="1"/>
  <c r="W15" i="1" s="1"/>
  <c r="V8" i="1"/>
  <c r="W8" i="1" s="1"/>
  <c r="V17" i="1"/>
  <c r="W17" i="1" s="1"/>
  <c r="V12" i="1"/>
  <c r="W12" i="1" s="1"/>
  <c r="V30" i="1"/>
  <c r="W30" i="1" s="1"/>
  <c r="V27" i="1"/>
  <c r="W27" i="1" s="1"/>
  <c r="V11" i="1"/>
  <c r="W11" i="1" s="1"/>
  <c r="V24" i="1"/>
  <c r="W24" i="1" s="1"/>
  <c r="V19" i="1"/>
  <c r="W19" i="1" s="1"/>
  <c r="V10" i="1"/>
  <c r="W10" i="1" s="1"/>
  <c r="V26" i="1"/>
  <c r="W26" i="1" s="1"/>
  <c r="V13" i="1"/>
  <c r="W13" i="1" s="1"/>
  <c r="V33" i="1" l="1"/>
</calcChain>
</file>

<file path=xl/sharedStrings.xml><?xml version="1.0" encoding="utf-8"?>
<sst xmlns="http://schemas.openxmlformats.org/spreadsheetml/2006/main" count="112" uniqueCount="101">
  <si>
    <t>Country</t>
  </si>
  <si>
    <t>DST</t>
  </si>
  <si>
    <t>Ad Tax</t>
  </si>
  <si>
    <t>FTT</t>
  </si>
  <si>
    <t>Wealth Tax</t>
  </si>
  <si>
    <t>Aviation carbon tax</t>
  </si>
  <si>
    <t>Luxury tax</t>
  </si>
  <si>
    <t>GNI</t>
  </si>
  <si>
    <t>GDP 2025 (Eurostat)</t>
  </si>
  <si>
    <t>M3 (2028)</t>
  </si>
  <si>
    <t>Yield (EUR m)</t>
  </si>
  <si>
    <t>Estimated revenue</t>
  </si>
  <si>
    <t>Central</t>
  </si>
  <si>
    <t>Rev. share</t>
  </si>
  <si>
    <t>Base</t>
  </si>
  <si>
    <t>Rev.</t>
  </si>
  <si>
    <t>GDP</t>
  </si>
  <si>
    <t>Ratio</t>
  </si>
  <si>
    <t>Share s</t>
  </si>
  <si>
    <t>Our scenario</t>
  </si>
  <si>
    <t>Scenario 0</t>
  </si>
  <si>
    <t>proj.</t>
  </si>
  <si>
    <t>EUR million, 0.5% rate</t>
  </si>
  <si>
    <t>(%)</t>
  </si>
  <si>
    <t>(EUR bn)</t>
  </si>
  <si>
    <t>NOR total (Ad 80%)</t>
  </si>
  <si>
    <t>rapporté au PIB ( %)</t>
  </si>
  <si>
    <t>50 bn répartis par s</t>
  </si>
  <si>
    <t>A 3\% DST</t>
  </si>
  <si>
    <t xml:space="preserve">15\% Ad tax </t>
  </si>
  <si>
    <t>0.5\% FTT</t>
  </si>
  <si>
    <t>Wealth tax</t>
  </si>
  <si>
    <t>Luxury VAT</t>
  </si>
  <si>
    <t>Austria</t>
  </si>
  <si>
    <t xml:space="preserve">Austria        </t>
  </si>
  <si>
    <t>Belgium</t>
  </si>
  <si>
    <t xml:space="preserve">Belgium        </t>
  </si>
  <si>
    <t>Bulgaria</t>
  </si>
  <si>
    <t xml:space="preserve">Bulgaria       </t>
  </si>
  <si>
    <t>Croatia</t>
  </si>
  <si>
    <t xml:space="preserve">Croatia        </t>
  </si>
  <si>
    <t>Cyprus</t>
  </si>
  <si>
    <t xml:space="preserve">Cyprus         </t>
  </si>
  <si>
    <t>Czechia</t>
  </si>
  <si>
    <t xml:space="preserve">Czechia        </t>
  </si>
  <si>
    <t>Denmark</t>
  </si>
  <si>
    <t xml:space="preserve">Denmark        </t>
  </si>
  <si>
    <t>Estonia</t>
  </si>
  <si>
    <t xml:space="preserve">Estonia        </t>
  </si>
  <si>
    <t>Finland</t>
  </si>
  <si>
    <t xml:space="preserve">Finland        </t>
  </si>
  <si>
    <t>France</t>
  </si>
  <si>
    <t xml:space="preserve">France         </t>
  </si>
  <si>
    <t>Germany</t>
  </si>
  <si>
    <t xml:space="preserve">Germany        </t>
  </si>
  <si>
    <t>Greece</t>
  </si>
  <si>
    <t xml:space="preserve">Greece         </t>
  </si>
  <si>
    <t>Hungary</t>
  </si>
  <si>
    <t xml:space="preserve">Hungary        </t>
  </si>
  <si>
    <t>Ireland</t>
  </si>
  <si>
    <t xml:space="preserve">Ireland        </t>
  </si>
  <si>
    <t>Italy</t>
  </si>
  <si>
    <t xml:space="preserve">Italy          </t>
  </si>
  <si>
    <t>Latvia</t>
  </si>
  <si>
    <t xml:space="preserve">Latvia         </t>
  </si>
  <si>
    <t>Lithuania</t>
  </si>
  <si>
    <t xml:space="preserve">Lithuania      </t>
  </si>
  <si>
    <t>Luxembourg</t>
  </si>
  <si>
    <t xml:space="preserve">Luxembourg     </t>
  </si>
  <si>
    <t>Malta</t>
  </si>
  <si>
    <t xml:space="preserve">Malta          </t>
  </si>
  <si>
    <t>Netherlands</t>
  </si>
  <si>
    <t xml:space="preserve">Netherlands    </t>
  </si>
  <si>
    <t>Poland</t>
  </si>
  <si>
    <t xml:space="preserve">Poland         </t>
  </si>
  <si>
    <t>Portugal</t>
  </si>
  <si>
    <t xml:space="preserve">Portugal       </t>
  </si>
  <si>
    <t>Romania</t>
  </si>
  <si>
    <t xml:space="preserve">Romania        </t>
  </si>
  <si>
    <t>Slovakia</t>
  </si>
  <si>
    <t xml:space="preserve">Slovakia       </t>
  </si>
  <si>
    <t>Slovenia</t>
  </si>
  <si>
    <t xml:space="preserve">Slovenia       </t>
  </si>
  <si>
    <t>Spain</t>
  </si>
  <si>
    <t xml:space="preserve">Spain          </t>
  </si>
  <si>
    <t>Sweden</t>
  </si>
  <si>
    <t xml:space="preserve">Sweden         </t>
  </si>
  <si>
    <t>European Union</t>
  </si>
  <si>
    <t>TOTAL</t>
  </si>
  <si>
    <t xml:space="preserve">Budget 2026 </t>
  </si>
  <si>
    <t>share GNI</t>
  </si>
  <si>
    <t>Reward fund</t>
  </si>
  <si>
    <t>ajustable</t>
  </si>
  <si>
    <t>NOR</t>
  </si>
  <si>
    <t>GNI contrib reduction</t>
  </si>
  <si>
    <t>Ajout budg</t>
  </si>
  <si>
    <t xml:space="preserve">Remboursement </t>
  </si>
  <si>
    <t>New budg</t>
  </si>
  <si>
    <t>new GNIcontrib ratio</t>
  </si>
  <si>
    <t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</si>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</sst>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8" x14ac:knownFonts="1">
    <font>
      <sz val="11"/>
      <color theme="1"/>
      <name val="Calibri"/>
      <family val="2"/>
      <charset val="1"/>
    </font>
    <font>
      <b/>
      <sz val="11"/>
      <color theme="1"/>
      <name val="Cambria"/>
      <charset val="1"/>
    </font>
    <font>
      <b/>
      <sz val="11"/>
      <color theme="1"/>
      <name val="Calibri"/>
      <family val="2"/>
      <charset val="1"/>
    </font>
    <font>
      <sz val="11"/>
      <color theme="1"/>
      <name val="Cambria"/>
      <charset val="1"/>
    </font>
    <font>
      <sz val="11"/>
      <name val="Cambria"/>
      <charset val="1"/>
    </font>
    <font>
      <b/>
      <sz val="11"/>
      <name val="Cambria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FF8A65"/>
        <bgColor rgb="FFFF9800"/>
      </patternFill>
    </fill>
    <fill>
      <patternFill patternType="solid">
        <fgColor rgb="FF650953"/>
        <bgColor rgb="FF800080"/>
      </patternFill>
    </fill>
    <fill>
      <patternFill patternType="solid">
        <fgColor rgb="FF5983B0"/>
        <bgColor rgb="FF8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00A933"/>
        <bgColor rgb="FF008000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7" fillId="10" borderId="0" xfId="0" applyFont="1" applyFill="1" applyBorder="1" applyAlignment="1" applyProtection="1">
      <alignment horizontal="center" vertical="center"/>
    </xf>
    <xf numFmtId="0" fontId="6" fillId="10" borderId="0" xfId="0" applyFont="1" applyFill="1" applyBorder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 wrapText="1"/>
    </xf>
    <xf numFmtId="0" fontId="0" fillId="0" borderId="0" xfId="0" applyAlignment="1" applyProtection="1"/>
    <xf numFmtId="0" fontId="0" fillId="2" borderId="0" xfId="0" applyFill="1" applyAlignment="1" applyProtection="1"/>
    <xf numFmtId="0" fontId="1" fillId="3" borderId="0" xfId="0" applyFont="1" applyFill="1" applyBorder="1" applyAlignment="1" applyProtection="1">
      <alignment horizontal="center" vertical="center" wrapText="1"/>
    </xf>
    <xf numFmtId="0" fontId="1" fillId="3" borderId="0" xfId="0" applyFont="1" applyFill="1" applyAlignment="1" applyProtection="1">
      <alignment horizontal="center" vertical="center" wrapText="1"/>
    </xf>
    <xf numFmtId="0" fontId="2" fillId="3" borderId="0" xfId="0" applyFont="1" applyFill="1" applyAlignment="1" applyProtection="1"/>
    <xf numFmtId="0" fontId="2" fillId="2" borderId="0" xfId="0" applyFont="1" applyFill="1" applyAlignment="1" applyProtection="1"/>
    <xf numFmtId="0" fontId="1" fillId="4" borderId="0" xfId="0" applyFont="1" applyFill="1" applyAlignment="1" applyProtection="1">
      <alignment horizontal="center" vertical="center" wrapText="1"/>
    </xf>
    <xf numFmtId="0" fontId="2" fillId="4" borderId="0" xfId="0" applyFont="1" applyFill="1" applyAlignment="1" applyProtection="1"/>
    <xf numFmtId="0" fontId="0" fillId="4" borderId="0" xfId="0" applyFill="1" applyAlignment="1" applyProtection="1"/>
    <xf numFmtId="0" fontId="1" fillId="5" borderId="0" xfId="0" applyFont="1" applyFill="1" applyAlignment="1" applyProtection="1">
      <alignment horizontal="left" vertical="center"/>
    </xf>
    <xf numFmtId="0" fontId="0" fillId="5" borderId="0" xfId="0" applyFont="1" applyFill="1" applyAlignment="1" applyProtection="1"/>
    <xf numFmtId="0" fontId="0" fillId="5" borderId="0" xfId="0" applyFill="1" applyAlignment="1" applyProtection="1"/>
    <xf numFmtId="0" fontId="3" fillId="0" borderId="0" xfId="0" applyFont="1" applyAlignment="1" applyProtection="1">
      <alignment horizontal="left" vertical="center"/>
    </xf>
    <xf numFmtId="3" fontId="3" fillId="0" borderId="0" xfId="0" applyNumberFormat="1" applyFont="1" applyAlignment="1" applyProtection="1">
      <alignment horizontal="right" vertical="center"/>
    </xf>
    <xf numFmtId="3" fontId="4" fillId="0" borderId="0" xfId="0" applyNumberFormat="1" applyFont="1" applyAlignment="1" applyProtection="1">
      <alignment horizontal="right" vertical="center"/>
    </xf>
    <xf numFmtId="164" fontId="3" fillId="0" borderId="0" xfId="0" applyNumberFormat="1" applyFont="1" applyAlignment="1" applyProtection="1">
      <alignment horizontal="right" vertical="center"/>
    </xf>
    <xf numFmtId="0" fontId="3" fillId="6" borderId="0" xfId="0" applyFont="1" applyFill="1" applyAlignment="1" applyProtection="1">
      <alignment horizontal="left" vertical="center"/>
    </xf>
    <xf numFmtId="3" fontId="3" fillId="6" borderId="0" xfId="0" applyNumberFormat="1" applyFont="1" applyFill="1" applyAlignment="1" applyProtection="1">
      <alignment horizontal="right" vertical="center"/>
    </xf>
    <xf numFmtId="3" fontId="4" fillId="6" borderId="0" xfId="0" applyNumberFormat="1" applyFont="1" applyFill="1" applyAlignment="1" applyProtection="1">
      <alignment horizontal="right" vertical="center"/>
    </xf>
    <xf numFmtId="164" fontId="3" fillId="6" borderId="0" xfId="0" applyNumberFormat="1" applyFont="1" applyFill="1" applyAlignment="1" applyProtection="1">
      <alignment horizontal="right" vertical="center"/>
    </xf>
    <xf numFmtId="0" fontId="4" fillId="0" borderId="0" xfId="0" applyFont="1" applyAlignment="1" applyProtection="1">
      <alignment horizontal="left" vertical="center"/>
    </xf>
    <xf numFmtId="0" fontId="4" fillId="0" borderId="0" xfId="0" applyFont="1" applyAlignment="1" applyProtection="1">
      <alignment horizontal="right" vertical="center"/>
    </xf>
    <xf numFmtId="0" fontId="4" fillId="6" borderId="0" xfId="0" applyFont="1" applyFill="1" applyAlignment="1" applyProtection="1">
      <alignment horizontal="left" vertical="center"/>
    </xf>
    <xf numFmtId="0" fontId="1" fillId="7" borderId="0" xfId="0" applyFont="1" applyFill="1" applyAlignment="1" applyProtection="1">
      <alignment horizontal="left" vertical="center"/>
    </xf>
    <xf numFmtId="3" fontId="1" fillId="7" borderId="0" xfId="0" applyNumberFormat="1" applyFont="1" applyFill="1" applyAlignment="1" applyProtection="1">
      <alignment horizontal="right" vertical="center"/>
    </xf>
    <xf numFmtId="3" fontId="5" fillId="8" borderId="0" xfId="0" applyNumberFormat="1" applyFont="1" applyFill="1" applyAlignment="1" applyProtection="1">
      <alignment horizontal="right" vertical="center"/>
    </xf>
    <xf numFmtId="164" fontId="1" fillId="7" borderId="0" xfId="0" applyNumberFormat="1" applyFont="1" applyFill="1" applyAlignment="1" applyProtection="1">
      <alignment horizontal="right" vertical="center"/>
    </xf>
    <xf numFmtId="0" fontId="0" fillId="7" borderId="0" xfId="0" applyFill="1" applyAlignment="1" applyProtection="1"/>
    <xf numFmtId="0" fontId="0" fillId="9" borderId="0" xfId="0" applyFill="1" applyAlignment="1" applyProtection="1"/>
    <xf numFmtId="0" fontId="0" fillId="11" borderId="0" xfId="0" applyFont="1" applyFill="1" applyAlignment="1" applyProtection="1"/>
    <xf numFmtId="0" fontId="2" fillId="11" borderId="0" xfId="0" applyFont="1" applyFill="1" applyAlignment="1" applyProtection="1">
      <alignment wrapText="1"/>
    </xf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12" borderId="0" xfId="0" applyFont="1" applyFill="1" applyAlignment="1" applyProtection="1"/>
    <xf numFmtId="0" fontId="0" fillId="13" borderId="0" xfId="0" applyFont="1" applyFill="1" applyAlignment="1" applyProtection="1"/>
    <xf numFmtId="0" fontId="0" fillId="13" borderId="0" xfId="0" applyFont="1" applyFill="1"/>
    <xf numFmtId="0" fontId="1" fillId="0" borderId="0" xfId="0" applyFont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2F7FF"/>
      <rgbColor rgb="FFD9E1F2"/>
      <rgbColor rgb="FF650953"/>
      <rgbColor rgb="FFFF8A65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00A933"/>
      <rgbColor rgb="FF003300"/>
      <rgbColor rgb="FF333300"/>
      <rgbColor rgb="FFB85C00"/>
      <rgbColor rgb="FF993366"/>
      <rgbColor rgb="FF1A237E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Combined_2!$C$5:$C$31</c:f>
              <c:numCache>
                <c:formatCode>#,##0</c:formatCode>
                <c:ptCount val="27"/>
                <c:pt idx="0">
                  <c:v>345.61025947731963</c:v>
                </c:pt>
                <c:pt idx="1">
                  <c:v>394.50844248066909</c:v>
                </c:pt>
                <c:pt idx="2">
                  <c:v>726.00829177891137</c:v>
                </c:pt>
                <c:pt idx="3">
                  <c:v>786.75514811520827</c:v>
                </c:pt>
                <c:pt idx="4">
                  <c:v>727.60345611641662</c:v>
                </c:pt>
                <c:pt idx="5">
                  <c:v>777.77240709574505</c:v>
                </c:pt>
                <c:pt idx="6">
                  <c:v>304.27768496351541</c:v>
                </c:pt>
                <c:pt idx="7">
                  <c:v>744.36065892100066</c:v>
                </c:pt>
                <c:pt idx="8">
                  <c:v>379.78598863774289</c:v>
                </c:pt>
                <c:pt idx="9">
                  <c:v>418.69215795025718</c:v>
                </c:pt>
                <c:pt idx="10">
                  <c:v>260.89302099102883</c:v>
                </c:pt>
                <c:pt idx="11">
                  <c:v>503.09319386779151</c:v>
                </c:pt>
                <c:pt idx="12">
                  <c:v>933.3619832934919</c:v>
                </c:pt>
                <c:pt idx="13">
                  <c:v>299.86305223490717</c:v>
                </c:pt>
                <c:pt idx="14">
                  <c:v>255.79113330907728</c:v>
                </c:pt>
                <c:pt idx="15">
                  <c:v>816.32653061224482</c:v>
                </c:pt>
                <c:pt idx="16">
                  <c:v>759.03436018957348</c:v>
                </c:pt>
                <c:pt idx="17">
                  <c:v>198.13750743015655</c:v>
                </c:pt>
                <c:pt idx="18">
                  <c:v>510.5389832980818</c:v>
                </c:pt>
                <c:pt idx="19">
                  <c:v>396.58080453344422</c:v>
                </c:pt>
                <c:pt idx="20">
                  <c:v>901.60628277220212</c:v>
                </c:pt>
                <c:pt idx="21">
                  <c:v>641.88790560471978</c:v>
                </c:pt>
                <c:pt idx="22">
                  <c:v>617.70825592628364</c:v>
                </c:pt>
                <c:pt idx="23">
                  <c:v>781.10546979382923</c:v>
                </c:pt>
                <c:pt idx="24">
                  <c:v>641.1377280410328</c:v>
                </c:pt>
                <c:pt idx="25">
                  <c:v>562.98555443361431</c:v>
                </c:pt>
                <c:pt idx="26">
                  <c:v>341.95889979699587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1A-482E-A20E-D3FCA6C71088}"/>
            </c:ext>
          </c:extLst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Combined_2!$E$5:$E$31</c:f>
              <c:numCache>
                <c:formatCode>#,##0</c:formatCode>
                <c:ptCount val="27"/>
                <c:pt idx="0">
                  <c:v>808.87507537245017</c:v>
                </c:pt>
                <c:pt idx="1">
                  <c:v>362.94776708221559</c:v>
                </c:pt>
                <c:pt idx="2">
                  <c:v>343.89866452685277</c:v>
                </c:pt>
                <c:pt idx="3">
                  <c:v>444.68769241294382</c:v>
                </c:pt>
                <c:pt idx="4">
                  <c:v>0</c:v>
                </c:pt>
                <c:pt idx="5">
                  <c:v>1155.6731246676891</c:v>
                </c:pt>
                <c:pt idx="6">
                  <c:v>740.60040302440541</c:v>
                </c:pt>
                <c:pt idx="7">
                  <c:v>679.63364510178326</c:v>
                </c:pt>
                <c:pt idx="8">
                  <c:v>520.73748957546184</c:v>
                </c:pt>
                <c:pt idx="9">
                  <c:v>656.77962810193401</c:v>
                </c:pt>
                <c:pt idx="10">
                  <c:v>723.95802330501317</c:v>
                </c:pt>
                <c:pt idx="11">
                  <c:v>298.53881833912902</c:v>
                </c:pt>
                <c:pt idx="12">
                  <c:v>758.77628857672369</c:v>
                </c:pt>
                <c:pt idx="13">
                  <c:v>494.61946760397058</c:v>
                </c:pt>
                <c:pt idx="14">
                  <c:v>491.18512883273246</c:v>
                </c:pt>
                <c:pt idx="15">
                  <c:v>604.68631897203318</c:v>
                </c:pt>
                <c:pt idx="16">
                  <c:v>444.31279620853081</c:v>
                </c:pt>
                <c:pt idx="17">
                  <c:v>0</c:v>
                </c:pt>
                <c:pt idx="18">
                  <c:v>0</c:v>
                </c:pt>
                <c:pt idx="19">
                  <c:v>778.8273631198964</c:v>
                </c:pt>
                <c:pt idx="20">
                  <c:v>779.32364927880633</c:v>
                </c:pt>
                <c:pt idx="21">
                  <c:v>396.46017699115043</c:v>
                </c:pt>
                <c:pt idx="22">
                  <c:v>139.33268930668052</c:v>
                </c:pt>
                <c:pt idx="23">
                  <c:v>380.27503134699583</c:v>
                </c:pt>
                <c:pt idx="24">
                  <c:v>271.99782401740788</c:v>
                </c:pt>
                <c:pt idx="25">
                  <c:v>684.15521256207887</c:v>
                </c:pt>
                <c:pt idx="26">
                  <c:v>1087.393115227484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1A-482E-A20E-D3FCA6C71088}"/>
            </c:ext>
          </c:extLst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Combined_2!$G$5:$G$31</c:f>
              <c:numCache>
                <c:formatCode>#,##0</c:formatCode>
                <c:ptCount val="27"/>
                <c:pt idx="0">
                  <c:v>64.71000602979602</c:v>
                </c:pt>
                <c:pt idx="1">
                  <c:v>120.52232917784441</c:v>
                </c:pt>
                <c:pt idx="2">
                  <c:v>3.8210962725205859</c:v>
                </c:pt>
                <c:pt idx="3">
                  <c:v>5.1310118355339673</c:v>
                </c:pt>
                <c:pt idx="4">
                  <c:v>36.380172805820827</c:v>
                </c:pt>
                <c:pt idx="5">
                  <c:v>16.697938683411476</c:v>
                </c:pt>
                <c:pt idx="6">
                  <c:v>326.66792970611368</c:v>
                </c:pt>
                <c:pt idx="7">
                  <c:v>3.2363506909608724</c:v>
                </c:pt>
                <c:pt idx="8">
                  <c:v>318.31547295101541</c:v>
                </c:pt>
                <c:pt idx="9">
                  <c:v>1204.0312519905353</c:v>
                </c:pt>
                <c:pt idx="10">
                  <c:v>427.72512547265075</c:v>
                </c:pt>
                <c:pt idx="11">
                  <c:v>125.4968736351524</c:v>
                </c:pt>
                <c:pt idx="12">
                  <c:v>39.61752303188203</c:v>
                </c:pt>
                <c:pt idx="13">
                  <c:v>746.2571217474906</c:v>
                </c:pt>
                <c:pt idx="14">
                  <c:v>300.16868984222538</c:v>
                </c:pt>
                <c:pt idx="15">
                  <c:v>0</c:v>
                </c:pt>
                <c:pt idx="16">
                  <c:v>1.8513033175355451</c:v>
                </c:pt>
                <c:pt idx="17">
                  <c:v>0</c:v>
                </c:pt>
                <c:pt idx="18">
                  <c:v>0</c:v>
                </c:pt>
                <c:pt idx="19">
                  <c:v>2342.4546918376027</c:v>
                </c:pt>
                <c:pt idx="20">
                  <c:v>114.98217776244684</c:v>
                </c:pt>
                <c:pt idx="21">
                  <c:v>117.52212389380531</c:v>
                </c:pt>
                <c:pt idx="22">
                  <c:v>8.8244036560897676</c:v>
                </c:pt>
                <c:pt idx="23">
                  <c:v>0</c:v>
                </c:pt>
                <c:pt idx="24">
                  <c:v>7.7713664004973682</c:v>
                </c:pt>
                <c:pt idx="25">
                  <c:v>198.32258330413998</c:v>
                </c:pt>
                <c:pt idx="26">
                  <c:v>443.46098592721523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1A-482E-A20E-D3FCA6C71088}"/>
            </c:ext>
          </c:extLst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Combined_2!$I$5:$I$31</c:f>
              <c:numCache>
                <c:formatCode>#,##0</c:formatCode>
                <c:ptCount val="27"/>
                <c:pt idx="0">
                  <c:v>2255.0456646747098</c:v>
                </c:pt>
                <c:pt idx="1">
                  <c:v>1424.1754773552154</c:v>
                </c:pt>
                <c:pt idx="2">
                  <c:v>764.2192545041172</c:v>
                </c:pt>
                <c:pt idx="3">
                  <c:v>615.72142026407607</c:v>
                </c:pt>
                <c:pt idx="4">
                  <c:v>2091.8599363346975</c:v>
                </c:pt>
                <c:pt idx="5">
                  <c:v>1529.1796478492615</c:v>
                </c:pt>
                <c:pt idx="6">
                  <c:v>1530.000057410884</c:v>
                </c:pt>
                <c:pt idx="7">
                  <c:v>938.54170037865299</c:v>
                </c:pt>
                <c:pt idx="8">
                  <c:v>595.12855951481356</c:v>
                </c:pt>
                <c:pt idx="9">
                  <c:v>2590.6091776699586</c:v>
                </c:pt>
                <c:pt idx="10">
                  <c:v>2237.2984246137148</c:v>
                </c:pt>
                <c:pt idx="11">
                  <c:v>652.36260303735605</c:v>
                </c:pt>
                <c:pt idx="12">
                  <c:v>1396.6855577341462</c:v>
                </c:pt>
                <c:pt idx="13">
                  <c:v>1023.2440236057141</c:v>
                </c:pt>
                <c:pt idx="14">
                  <c:v>1443.2353168171644</c:v>
                </c:pt>
                <c:pt idx="15">
                  <c:v>604.68631897203318</c:v>
                </c:pt>
                <c:pt idx="16">
                  <c:v>573.90402843601896</c:v>
                </c:pt>
                <c:pt idx="17">
                  <c:v>4121.2601545472562</c:v>
                </c:pt>
                <c:pt idx="18">
                  <c:v>656.40726424039087</c:v>
                </c:pt>
                <c:pt idx="19">
                  <c:v>1090.5972124669715</c:v>
                </c:pt>
                <c:pt idx="20">
                  <c:v>1022.0638023328607</c:v>
                </c:pt>
                <c:pt idx="21">
                  <c:v>1557.5221238938052</c:v>
                </c:pt>
                <c:pt idx="22">
                  <c:v>561.97518020361144</c:v>
                </c:pt>
                <c:pt idx="23">
                  <c:v>195.27636744845731</c:v>
                </c:pt>
                <c:pt idx="24">
                  <c:v>1457.1312000932564</c:v>
                </c:pt>
                <c:pt idx="25">
                  <c:v>1773.0335689410019</c:v>
                </c:pt>
                <c:pt idx="26">
                  <c:v>1288.2261198701642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1A-482E-A20E-D3FCA6C71088}"/>
            </c:ext>
          </c:extLst>
        </c:ser>
        <c:ser>
          <c:idx val="4"/>
          <c:order val="4"/>
          <c:tx>
            <c:strRef>
              <c:f>Combined_2!$L$1:$L$1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29FC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Combined_2!$L$5:$L$31</c:f>
              <c:numCache>
                <c:formatCode>#,##0</c:formatCode>
                <c:ptCount val="27"/>
                <c:pt idx="0">
                  <c:v>4657.1595248716831</c:v>
                </c:pt>
                <c:pt idx="1">
                  <c:v>2169.7964336436798</c:v>
                </c:pt>
                <c:pt idx="2">
                  <c:v>5158.479967902791</c:v>
                </c:pt>
                <c:pt idx="3">
                  <c:v>6499.2816583430249</c:v>
                </c:pt>
                <c:pt idx="4">
                  <c:v>13187.812642110051</c:v>
                </c:pt>
                <c:pt idx="5">
                  <c:v>1933.445531763434</c:v>
                </c:pt>
                <c:pt idx="6">
                  <c:v>3243.7149434789849</c:v>
                </c:pt>
                <c:pt idx="7">
                  <c:v>29127.156218647851</c:v>
                </c:pt>
                <c:pt idx="8">
                  <c:v>2819.0300187543803</c:v>
                </c:pt>
                <c:pt idx="9">
                  <c:v>2089.5768179706711</c:v>
                </c:pt>
                <c:pt idx="10">
                  <c:v>1716.0486478341052</c:v>
                </c:pt>
                <c:pt idx="11">
                  <c:v>14042.381455210885</c:v>
                </c:pt>
                <c:pt idx="12">
                  <c:v>2484.4887325078562</c:v>
                </c:pt>
                <c:pt idx="13">
                  <c:v>2905.889372173327</c:v>
                </c:pt>
                <c:pt idx="14">
                  <c:v>3919.5580987662488</c:v>
                </c:pt>
                <c:pt idx="15">
                  <c:v>5442.1768707482988</c:v>
                </c:pt>
                <c:pt idx="16">
                  <c:v>2591.824644549763</c:v>
                </c:pt>
                <c:pt idx="17">
                  <c:v>4160.8876560332874</c:v>
                </c:pt>
                <c:pt idx="18">
                  <c:v>19692.217927211728</c:v>
                </c:pt>
                <c:pt idx="19">
                  <c:v>2365.1505812536734</c:v>
                </c:pt>
                <c:pt idx="20">
                  <c:v>2171.8855799573289</c:v>
                </c:pt>
                <c:pt idx="21">
                  <c:v>9203.5398230088504</c:v>
                </c:pt>
                <c:pt idx="22">
                  <c:v>2879.5422456713977</c:v>
                </c:pt>
                <c:pt idx="23">
                  <c:v>4111.0814199675224</c:v>
                </c:pt>
                <c:pt idx="24">
                  <c:v>5828.5248003730258</c:v>
                </c:pt>
                <c:pt idx="25">
                  <c:v>7690.5640159086697</c:v>
                </c:pt>
                <c:pt idx="26">
                  <c:v>2098.7953638334138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1A-482E-A20E-D3FCA6C71088}"/>
            </c:ext>
          </c:extLst>
        </c:ser>
        <c:ser>
          <c:idx val="5"/>
          <c:order val="5"/>
          <c:tx>
            <c:strRef>
              <c:f>Combined_2!$P$1:$P$1</c:f>
              <c:strCache>
                <c:ptCount val="1"/>
                <c:pt idx="0">
                  <c:v>Luxury tax</c:v>
                </c:pt>
              </c:strCache>
            </c:strRef>
          </c:tx>
          <c:spPr>
            <a:solidFill>
              <a:srgbClr val="B85C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Combined_2!$A$5:$A$31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Combined_2!$P$5:$P$31</c:f>
              <c:numCache>
                <c:formatCode>#,##0</c:formatCode>
                <c:ptCount val="27"/>
                <c:pt idx="0">
                  <c:v>3559.0503316387808</c:v>
                </c:pt>
                <c:pt idx="1">
                  <c:v>2864.1312924096578</c:v>
                </c:pt>
                <c:pt idx="2">
                  <c:v>4203.2058997726444</c:v>
                </c:pt>
                <c:pt idx="3">
                  <c:v>6020.3872203598557</c:v>
                </c:pt>
                <c:pt idx="4">
                  <c:v>10004.547521600729</c:v>
                </c:pt>
                <c:pt idx="5">
                  <c:v>2900.1682976451511</c:v>
                </c:pt>
                <c:pt idx="6">
                  <c:v>1768.2552258257122</c:v>
                </c:pt>
                <c:pt idx="7">
                  <c:v>2847.9886080455681</c:v>
                </c:pt>
                <c:pt idx="8">
                  <c:v>1722.7405670165656</c:v>
                </c:pt>
                <c:pt idx="9">
                  <c:v>3537.5214977838045</c:v>
                </c:pt>
                <c:pt idx="10">
                  <c:v>2276.9820495948784</c:v>
                </c:pt>
                <c:pt idx="11">
                  <c:v>5108.3308915806529</c:v>
                </c:pt>
                <c:pt idx="12">
                  <c:v>2659.0744272246247</c:v>
                </c:pt>
                <c:pt idx="13">
                  <c:v>1768.2645966841951</c:v>
                </c:pt>
                <c:pt idx="14">
                  <c:v>4584.3945357721686</c:v>
                </c:pt>
                <c:pt idx="15">
                  <c:v>2660.6198034769463</c:v>
                </c:pt>
                <c:pt idx="16">
                  <c:v>2443.7203791469196</c:v>
                </c:pt>
                <c:pt idx="17">
                  <c:v>5230.8301961561328</c:v>
                </c:pt>
                <c:pt idx="18">
                  <c:v>9627.3065421924002</c:v>
                </c:pt>
                <c:pt idx="19">
                  <c:v>1944.6793668085759</c:v>
                </c:pt>
                <c:pt idx="20">
                  <c:v>2168.235352091855</c:v>
                </c:pt>
                <c:pt idx="21">
                  <c:v>4361.0619469026551</c:v>
                </c:pt>
                <c:pt idx="22">
                  <c:v>2247.9007208144462</c:v>
                </c:pt>
                <c:pt idx="23">
                  <c:v>1808.8758247857102</c:v>
                </c:pt>
                <c:pt idx="24">
                  <c:v>3419.4012162188424</c:v>
                </c:pt>
                <c:pt idx="25">
                  <c:v>3735.6523172666766</c:v>
                </c:pt>
                <c:pt idx="26">
                  <c:v>1910.6275036276593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1A-482E-A20E-D3FCA6C71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36144290"/>
        <c:axId val="94750663"/>
      </c:barChart>
      <c:catAx>
        <c:axId val="3614429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en-US"/>
          </a:p>
        </c:txPr>
        <c:crossAx val="94750663"/>
        <c:crosses val="autoZero"/>
        <c:auto val="1"/>
        <c:lblAlgn val="ctr"/>
        <c:lblOffset val="100"/>
        <c:noMultiLvlLbl val="0"/>
      </c:catAx>
      <c:valAx>
        <c:axId val="94750663"/>
        <c:scaling>
          <c:orientation val="minMax"/>
        </c:scaling>
        <c:delete val="0"/>
        <c:axPos val="l"/>
        <c:numFmt formatCode="#,##0" sourceLinked="0"/>
        <c:majorTickMark val="out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en-US"/>
          </a:p>
        </c:txPr>
        <c:crossAx val="36144290"/>
        <c:crossesAt val="0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700560</xdr:colOff>
      <xdr:row>40</xdr:row>
      <xdr:rowOff>97200</xdr:rowOff>
    </xdr:from>
    <xdr:to>
      <xdr:col>7</xdr:col>
      <xdr:colOff>1158480</xdr:colOff>
      <xdr:row>72</xdr:row>
      <xdr:rowOff>39600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52"/>
  <sheetViews>
    <sheetView tabSelected="1" zoomScale="110" zoomScaleNormal="110" workbookViewId="0">
      <pane xSplit="1" ySplit="4" topLeftCell="G5" activePane="bottomRight" state="frozen"/>
      <selection pane="topRight" activeCell="K1" sqref="K1"/>
      <selection pane="bottomLeft" activeCell="A22" sqref="A22"/>
      <selection pane="bottomRight" activeCell="Q1" sqref="Q1"/>
    </sheetView>
  </sheetViews>
  <sheetFormatPr baseColWidth="10" defaultColWidth="8.5546875" defaultRowHeight="14.4" x14ac:dyDescent="0.3"/>
  <cols>
    <col min="1" max="1" width="22" style="4" customWidth="1"/>
    <col min="2" max="8" width="20" style="4" customWidth="1"/>
    <col min="9" max="10" width="15.109375" style="4" customWidth="1"/>
    <col min="11" max="11" width="18.21875" style="4" customWidth="1"/>
    <col min="12" max="12" width="8.5546875" style="4"/>
    <col min="19" max="19" width="18.88671875" style="4" customWidth="1"/>
    <col min="21" max="21" width="10.44140625" style="5" customWidth="1"/>
    <col min="22" max="22" width="14.5546875" style="4" customWidth="1"/>
    <col min="23" max="23" width="11.77734375" style="4" customWidth="1"/>
    <col min="33" max="33" width="11.77734375" style="4" customWidth="1"/>
    <col min="16341" max="16384" width="10.109375" style="4" customWidth="1"/>
  </cols>
  <sheetData>
    <row r="1" spans="1:37 16341:16384" s="8" customFormat="1" ht="19.5" customHeight="1" x14ac:dyDescent="0.3">
      <c r="A1" s="3" t="s">
        <v>0</v>
      </c>
      <c r="B1" s="7"/>
      <c r="C1" s="7" t="s">
        <v>1</v>
      </c>
      <c r="D1" s="7"/>
      <c r="E1" s="7" t="s">
        <v>2</v>
      </c>
      <c r="F1" s="7"/>
      <c r="G1" s="7" t="s">
        <v>3</v>
      </c>
      <c r="H1" s="6"/>
      <c r="I1" s="6" t="s">
        <v>4</v>
      </c>
      <c r="J1" s="8" t="s">
        <v>5</v>
      </c>
      <c r="L1" s="8" t="s">
        <v>5</v>
      </c>
      <c r="M1" s="8" t="s">
        <v>6</v>
      </c>
      <c r="P1" s="8" t="s">
        <v>6</v>
      </c>
      <c r="S1" s="4" t="s">
        <v>7</v>
      </c>
      <c r="U1" s="9"/>
      <c r="AB1" s="8" t="s">
        <v>8</v>
      </c>
      <c r="XFD1" s="4"/>
    </row>
    <row r="2" spans="1:37 16341:16384" s="11" customFormat="1" ht="30" customHeight="1" x14ac:dyDescent="0.3">
      <c r="A2" s="3"/>
      <c r="B2" s="10" t="s">
        <v>9</v>
      </c>
      <c r="C2" s="10"/>
      <c r="D2" s="10" t="s">
        <v>10</v>
      </c>
      <c r="E2" s="10"/>
      <c r="F2" s="10" t="s">
        <v>11</v>
      </c>
      <c r="G2" s="10"/>
      <c r="H2" s="10" t="s">
        <v>12</v>
      </c>
      <c r="I2" s="10"/>
      <c r="J2" s="11" t="s">
        <v>13</v>
      </c>
      <c r="M2" s="11" t="s">
        <v>14</v>
      </c>
      <c r="N2" s="11" t="s">
        <v>15</v>
      </c>
      <c r="Q2" s="11" t="s">
        <v>16</v>
      </c>
      <c r="R2" s="11" t="s">
        <v>17</v>
      </c>
      <c r="S2" s="4"/>
      <c r="T2" s="11" t="s">
        <v>18</v>
      </c>
      <c r="U2" s="9"/>
      <c r="V2" s="11" t="s">
        <v>19</v>
      </c>
      <c r="Y2" s="11" t="s">
        <v>20</v>
      </c>
      <c r="AB2" s="11" t="s">
        <v>16</v>
      </c>
      <c r="XFD2" s="4"/>
    </row>
    <row r="3" spans="1:37 16341:16384" s="11" customFormat="1" ht="19.5" customHeight="1" x14ac:dyDescent="0.3">
      <c r="A3" s="3"/>
      <c r="B3" s="10" t="s">
        <v>21</v>
      </c>
      <c r="C3" s="10"/>
      <c r="D3" s="10"/>
      <c r="E3" s="10"/>
      <c r="F3" s="10" t="s">
        <v>22</v>
      </c>
      <c r="G3" s="10"/>
      <c r="H3" s="10"/>
      <c r="I3" s="10"/>
      <c r="J3" s="11" t="s">
        <v>23</v>
      </c>
      <c r="M3" s="11" t="s">
        <v>24</v>
      </c>
      <c r="N3" s="11" t="s">
        <v>23</v>
      </c>
      <c r="Q3" s="11" t="s">
        <v>23</v>
      </c>
      <c r="S3" s="4"/>
      <c r="T3" s="11" t="s">
        <v>23</v>
      </c>
      <c r="U3" s="9" t="s">
        <v>25</v>
      </c>
      <c r="V3" s="12"/>
      <c r="W3" s="11" t="s">
        <v>26</v>
      </c>
      <c r="Y3" s="11" t="s">
        <v>27</v>
      </c>
      <c r="AB3" s="11" t="s">
        <v>24</v>
      </c>
      <c r="XFD3" s="4"/>
    </row>
    <row r="4" spans="1:37 16341:16384" s="15" customFormat="1" ht="18" customHeight="1" x14ac:dyDescent="0.3">
      <c r="A4" s="13"/>
      <c r="B4" s="14" t="s">
        <v>28</v>
      </c>
      <c r="C4" s="14"/>
      <c r="D4" s="14" t="s">
        <v>29</v>
      </c>
      <c r="E4" s="14"/>
      <c r="F4" s="14" t="s">
        <v>30</v>
      </c>
      <c r="G4" s="14"/>
      <c r="H4" s="14" t="s">
        <v>31</v>
      </c>
      <c r="I4" s="14"/>
      <c r="K4" s="14" t="s">
        <v>5</v>
      </c>
      <c r="L4" s="14"/>
      <c r="O4" s="14" t="s">
        <v>32</v>
      </c>
      <c r="P4" s="14"/>
      <c r="S4" s="4"/>
      <c r="U4" s="5"/>
      <c r="AB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  <c r="XEM4" s="14"/>
      <c r="XEN4" s="14"/>
      <c r="XEO4" s="14"/>
      <c r="XEP4" s="14"/>
      <c r="XEQ4" s="14"/>
      <c r="XER4" s="14"/>
      <c r="XES4" s="14"/>
      <c r="XET4" s="14"/>
      <c r="XEU4" s="14"/>
      <c r="XEV4" s="14"/>
      <c r="XFD4" s="4"/>
    </row>
    <row r="5" spans="1:37 16341:16384" ht="15" customHeight="1" x14ac:dyDescent="0.3">
      <c r="A5" s="16" t="s">
        <v>33</v>
      </c>
      <c r="B5" s="17">
        <v>141</v>
      </c>
      <c r="C5" s="17">
        <f t="shared" ref="C5:C31" si="0">1000*B5/$S5</f>
        <v>345.61025947731963</v>
      </c>
      <c r="D5" s="18">
        <v>330</v>
      </c>
      <c r="E5" s="17">
        <f t="shared" ref="E5:E31" si="1">1000*D5/$S5</f>
        <v>808.87507537245017</v>
      </c>
      <c r="F5" s="19">
        <v>26.4</v>
      </c>
      <c r="G5" s="17">
        <f t="shared" ref="G5:G31" si="2">1000*F5/$S5</f>
        <v>64.71000602979602</v>
      </c>
      <c r="H5" s="17">
        <v>920</v>
      </c>
      <c r="I5" s="17">
        <f t="shared" ref="I5:I31" si="3">1000*H5/$S5</f>
        <v>2255.0456646747098</v>
      </c>
      <c r="J5" s="4">
        <v>2.09</v>
      </c>
      <c r="K5" s="4">
        <v>1900</v>
      </c>
      <c r="L5" s="17">
        <f t="shared" ref="L5:L31" si="4">1000*K5/$S5</f>
        <v>4657.1595248716831</v>
      </c>
      <c r="M5" s="4">
        <v>9.9</v>
      </c>
      <c r="N5" s="4">
        <v>3.3</v>
      </c>
      <c r="O5" s="4">
        <f t="shared" ref="O5:O31" si="5">N5*N$34/100*1000</f>
        <v>1452</v>
      </c>
      <c r="P5" s="17">
        <f t="shared" ref="P5:P31" si="6">1000*O5/$S5</f>
        <v>3559.0503316387808</v>
      </c>
      <c r="Q5" s="4">
        <v>2.8</v>
      </c>
      <c r="R5" s="4">
        <v>1.18</v>
      </c>
      <c r="S5" s="4">
        <v>407.97399999999999</v>
      </c>
      <c r="T5" s="4">
        <v>2.74</v>
      </c>
      <c r="U5" s="5">
        <f>H5+F5+B5+0.8*D5+K5+O5</f>
        <v>4703.3999999999996</v>
      </c>
      <c r="V5" s="4">
        <f t="shared" ref="V5:V32" si="7">U5-$T$42*1000*T5/100</f>
        <v>3043.2860600000004</v>
      </c>
      <c r="W5" s="4">
        <f>V5/S5</f>
        <v>7.4595098217043256</v>
      </c>
      <c r="Y5" s="4">
        <f t="shared" ref="Y5:Y32" si="8">T5*50000/100</f>
        <v>1370</v>
      </c>
      <c r="AB5" s="4">
        <v>514.29999999999995</v>
      </c>
      <c r="AG5" s="4" t="s">
        <v>34</v>
      </c>
      <c r="AH5" s="4">
        <v>1</v>
      </c>
      <c r="AI5" s="4">
        <v>90</v>
      </c>
      <c r="AJ5" s="4">
        <f t="shared" ref="AJ5:AJ31" si="9">AH5+AI5/100</f>
        <v>1.9</v>
      </c>
      <c r="AK5" s="4">
        <f>AJ5*1000</f>
        <v>1900</v>
      </c>
    </row>
    <row r="6" spans="1:37 16341:16384" ht="15" customHeight="1" x14ac:dyDescent="0.3">
      <c r="A6" s="20" t="s">
        <v>35</v>
      </c>
      <c r="B6" s="21">
        <v>200</v>
      </c>
      <c r="C6" s="17">
        <f t="shared" si="0"/>
        <v>394.50844248066909</v>
      </c>
      <c r="D6" s="22">
        <v>184</v>
      </c>
      <c r="E6" s="17">
        <f t="shared" si="1"/>
        <v>362.94776708221559</v>
      </c>
      <c r="F6" s="23">
        <v>61.1</v>
      </c>
      <c r="G6" s="17">
        <f t="shared" si="2"/>
        <v>120.52232917784441</v>
      </c>
      <c r="H6" s="21">
        <v>722</v>
      </c>
      <c r="I6" s="17">
        <f t="shared" si="3"/>
        <v>1424.1754773552154</v>
      </c>
      <c r="J6" s="4">
        <v>3.36</v>
      </c>
      <c r="K6" s="4">
        <v>1100</v>
      </c>
      <c r="L6" s="17">
        <f t="shared" si="4"/>
        <v>2169.7964336436798</v>
      </c>
      <c r="M6" s="4">
        <v>9.8000000000000007</v>
      </c>
      <c r="N6" s="4">
        <v>3.3</v>
      </c>
      <c r="O6" s="4">
        <f t="shared" si="5"/>
        <v>1452</v>
      </c>
      <c r="P6" s="17">
        <f t="shared" si="6"/>
        <v>2864.1312924096578</v>
      </c>
      <c r="Q6" s="4">
        <v>3.5</v>
      </c>
      <c r="R6" s="4">
        <v>0.93</v>
      </c>
      <c r="S6" s="4">
        <v>506.96</v>
      </c>
      <c r="T6" s="4">
        <v>3.42</v>
      </c>
      <c r="U6" s="5">
        <f>H6+F6+B6+0.8*D6+K6+O6</f>
        <v>3682.3</v>
      </c>
      <c r="V6" s="4">
        <f t="shared" si="7"/>
        <v>1610.1869800000013</v>
      </c>
      <c r="W6" s="4">
        <f>V6/S6</f>
        <v>3.1761617879122639</v>
      </c>
      <c r="Y6" s="4">
        <f t="shared" si="8"/>
        <v>1710</v>
      </c>
      <c r="AB6" s="4">
        <v>642</v>
      </c>
      <c r="AG6" s="4" t="s">
        <v>36</v>
      </c>
      <c r="AH6" s="4">
        <v>1</v>
      </c>
      <c r="AI6" s="4">
        <v>10</v>
      </c>
      <c r="AJ6" s="4">
        <f t="shared" si="9"/>
        <v>1.1000000000000001</v>
      </c>
      <c r="AK6" s="4">
        <f>AJ6*1000</f>
        <v>1100</v>
      </c>
    </row>
    <row r="7" spans="1:37 16341:16384" ht="15" customHeight="1" x14ac:dyDescent="0.3">
      <c r="A7" s="16" t="s">
        <v>37</v>
      </c>
      <c r="B7" s="17">
        <v>38</v>
      </c>
      <c r="C7" s="17">
        <f t="shared" si="0"/>
        <v>726.00829177891137</v>
      </c>
      <c r="D7" s="18">
        <v>18</v>
      </c>
      <c r="E7" s="17">
        <f t="shared" si="1"/>
        <v>343.89866452685277</v>
      </c>
      <c r="F7" s="19">
        <v>0.2</v>
      </c>
      <c r="G7" s="17">
        <f t="shared" si="2"/>
        <v>3.8210962725205859</v>
      </c>
      <c r="H7" s="17">
        <v>40</v>
      </c>
      <c r="I7" s="17">
        <f t="shared" si="3"/>
        <v>764.2192545041172</v>
      </c>
      <c r="J7" s="4">
        <v>0.4</v>
      </c>
      <c r="K7" s="4">
        <v>270</v>
      </c>
      <c r="L7" s="17">
        <f t="shared" si="4"/>
        <v>5158.479967902791</v>
      </c>
      <c r="M7" s="4">
        <v>1.6</v>
      </c>
      <c r="N7" s="4">
        <v>0.5</v>
      </c>
      <c r="O7" s="4">
        <f t="shared" si="5"/>
        <v>220</v>
      </c>
      <c r="P7" s="17">
        <f t="shared" si="6"/>
        <v>4203.2058997726444</v>
      </c>
      <c r="Q7" s="4">
        <v>0.6</v>
      </c>
      <c r="R7" s="4">
        <v>0.88</v>
      </c>
      <c r="S7" s="4">
        <v>52.341000000000001</v>
      </c>
      <c r="T7" s="4">
        <v>0.62</v>
      </c>
      <c r="U7" s="5">
        <f>H7+F7+B7+0.8*D7+K7+O7</f>
        <v>582.6</v>
      </c>
      <c r="V7" s="4">
        <f t="shared" si="7"/>
        <v>206.95378000000022</v>
      </c>
      <c r="W7" s="4">
        <f>V7/S7</f>
        <v>3.9539515867102315</v>
      </c>
      <c r="Y7" s="4">
        <f t="shared" si="8"/>
        <v>310</v>
      </c>
      <c r="AB7" s="4">
        <v>116</v>
      </c>
      <c r="AG7" s="4" t="s">
        <v>38</v>
      </c>
      <c r="AH7" s="4">
        <v>0</v>
      </c>
      <c r="AI7" s="4">
        <v>27</v>
      </c>
      <c r="AJ7" s="4">
        <f t="shared" si="9"/>
        <v>0.27</v>
      </c>
      <c r="AK7" s="4">
        <f>AJ7*1000</f>
        <v>270</v>
      </c>
    </row>
    <row r="8" spans="1:37 16341:16384" ht="15" customHeight="1" x14ac:dyDescent="0.3">
      <c r="A8" s="20" t="s">
        <v>39</v>
      </c>
      <c r="B8" s="21">
        <v>46</v>
      </c>
      <c r="C8" s="17">
        <f t="shared" si="0"/>
        <v>786.75514811520827</v>
      </c>
      <c r="D8" s="22">
        <v>26</v>
      </c>
      <c r="E8" s="17">
        <f t="shared" si="1"/>
        <v>444.68769241294382</v>
      </c>
      <c r="F8" s="23">
        <v>0.3</v>
      </c>
      <c r="G8" s="17">
        <f t="shared" si="2"/>
        <v>5.1310118355339673</v>
      </c>
      <c r="H8" s="21">
        <v>36</v>
      </c>
      <c r="I8" s="17">
        <f t="shared" si="3"/>
        <v>615.72142026407607</v>
      </c>
      <c r="J8" s="4">
        <v>0.39</v>
      </c>
      <c r="K8" s="4">
        <v>380</v>
      </c>
      <c r="L8" s="17">
        <f t="shared" si="4"/>
        <v>6499.2816583430249</v>
      </c>
      <c r="M8" s="4">
        <v>2.2999999999999998</v>
      </c>
      <c r="N8" s="4">
        <v>0.8</v>
      </c>
      <c r="O8" s="4">
        <f t="shared" si="5"/>
        <v>352.00000000000006</v>
      </c>
      <c r="P8" s="17">
        <f t="shared" si="6"/>
        <v>6020.3872203598557</v>
      </c>
      <c r="Q8" s="4">
        <v>0.5</v>
      </c>
      <c r="R8" s="4">
        <v>1.55</v>
      </c>
      <c r="S8" s="4">
        <v>58.468000000000004</v>
      </c>
      <c r="T8" s="4">
        <v>0.49</v>
      </c>
      <c r="U8" s="5">
        <f t="shared" ref="U8:U32" si="10">H8+F8+B8+D8+K8+O8</f>
        <v>840.30000000000007</v>
      </c>
      <c r="V8" s="4">
        <f t="shared" si="7"/>
        <v>543.41831000000025</v>
      </c>
      <c r="W8" s="4">
        <f t="shared" ref="W8:W32" si="11">ROUND(V8/S8 *100/1000, 2)</f>
        <v>0.93</v>
      </c>
      <c r="Y8" s="4">
        <f t="shared" si="8"/>
        <v>245</v>
      </c>
      <c r="AB8" s="4">
        <v>93</v>
      </c>
      <c r="AG8" s="4" t="s">
        <v>40</v>
      </c>
      <c r="AH8" s="4">
        <v>0</v>
      </c>
      <c r="AI8" s="4">
        <v>38</v>
      </c>
      <c r="AJ8" s="4">
        <f t="shared" si="9"/>
        <v>0.38</v>
      </c>
      <c r="AK8" s="4">
        <f>AJ8*1000</f>
        <v>380</v>
      </c>
    </row>
    <row r="9" spans="1:37 16341:16384" ht="15" customHeight="1" x14ac:dyDescent="0.3">
      <c r="A9" s="16" t="s">
        <v>41</v>
      </c>
      <c r="B9" s="17">
        <v>16</v>
      </c>
      <c r="C9" s="17">
        <f t="shared" si="0"/>
        <v>727.60345611641662</v>
      </c>
      <c r="D9" s="24"/>
      <c r="E9" s="17">
        <f t="shared" si="1"/>
        <v>0</v>
      </c>
      <c r="F9" s="19">
        <v>0.8</v>
      </c>
      <c r="G9" s="17">
        <f t="shared" si="2"/>
        <v>36.380172805820827</v>
      </c>
      <c r="H9" s="17">
        <v>46</v>
      </c>
      <c r="I9" s="17">
        <f t="shared" si="3"/>
        <v>2091.8599363346975</v>
      </c>
      <c r="J9" s="4">
        <v>0.8</v>
      </c>
      <c r="K9" s="4">
        <v>290</v>
      </c>
      <c r="L9" s="17">
        <f t="shared" si="4"/>
        <v>13187.812642110051</v>
      </c>
      <c r="M9" s="4">
        <v>1.5</v>
      </c>
      <c r="N9" s="4">
        <v>0.5</v>
      </c>
      <c r="O9" s="4">
        <f t="shared" si="5"/>
        <v>220</v>
      </c>
      <c r="P9" s="17">
        <f t="shared" si="6"/>
        <v>10004.547521600729</v>
      </c>
      <c r="Q9" s="4">
        <v>0.2</v>
      </c>
      <c r="R9" s="4">
        <v>2.44</v>
      </c>
      <c r="S9" s="4">
        <v>21.99</v>
      </c>
      <c r="T9" s="4">
        <v>0.19</v>
      </c>
      <c r="U9" s="5">
        <f t="shared" si="10"/>
        <v>572.79999999999995</v>
      </c>
      <c r="V9" s="4">
        <f t="shared" si="7"/>
        <v>457.68261000000001</v>
      </c>
      <c r="W9" s="4">
        <f t="shared" si="11"/>
        <v>2.08</v>
      </c>
      <c r="Y9" s="4">
        <f t="shared" si="8"/>
        <v>95</v>
      </c>
      <c r="AB9" s="4">
        <v>36.5</v>
      </c>
      <c r="AG9" s="4" t="s">
        <v>42</v>
      </c>
      <c r="AH9" s="4">
        <v>0</v>
      </c>
      <c r="AI9" s="4">
        <v>29</v>
      </c>
      <c r="AJ9" s="4">
        <f t="shared" si="9"/>
        <v>0.28999999999999998</v>
      </c>
      <c r="AK9" s="4">
        <f>AJ9*1000</f>
        <v>290</v>
      </c>
    </row>
    <row r="10" spans="1:37 16341:16384" ht="15" customHeight="1" x14ac:dyDescent="0.3">
      <c r="A10" s="20" t="s">
        <v>43</v>
      </c>
      <c r="B10" s="21">
        <v>177</v>
      </c>
      <c r="C10" s="17">
        <f t="shared" si="0"/>
        <v>777.77240709574505</v>
      </c>
      <c r="D10" s="22">
        <v>263</v>
      </c>
      <c r="E10" s="17">
        <f t="shared" si="1"/>
        <v>1155.6731246676891</v>
      </c>
      <c r="F10" s="23">
        <v>3.8</v>
      </c>
      <c r="G10" s="17">
        <f t="shared" si="2"/>
        <v>16.697938683411476</v>
      </c>
      <c r="H10" s="21">
        <v>348</v>
      </c>
      <c r="I10" s="17">
        <f t="shared" si="3"/>
        <v>1529.1796478492615</v>
      </c>
      <c r="J10" s="4">
        <v>0.69</v>
      </c>
      <c r="K10" s="4">
        <v>440</v>
      </c>
      <c r="L10" s="17">
        <f t="shared" si="4"/>
        <v>1933.445531763434</v>
      </c>
      <c r="M10" s="4">
        <v>4.5999999999999996</v>
      </c>
      <c r="N10" s="4">
        <v>1.5</v>
      </c>
      <c r="O10" s="4">
        <f t="shared" si="5"/>
        <v>660</v>
      </c>
      <c r="P10" s="17">
        <f t="shared" si="6"/>
        <v>2900.1682976451511</v>
      </c>
      <c r="Q10" s="4">
        <v>2</v>
      </c>
      <c r="R10" s="4">
        <v>0.77</v>
      </c>
      <c r="S10" s="4">
        <v>227.57300000000001</v>
      </c>
      <c r="T10" s="4">
        <v>1.85</v>
      </c>
      <c r="U10" s="5">
        <f t="shared" si="10"/>
        <v>1891.8</v>
      </c>
      <c r="V10" s="4">
        <f t="shared" si="7"/>
        <v>770.9201500000006</v>
      </c>
      <c r="W10" s="4">
        <f t="shared" si="11"/>
        <v>0.34</v>
      </c>
      <c r="Y10" s="4">
        <f t="shared" si="8"/>
        <v>925</v>
      </c>
      <c r="AB10" s="4">
        <v>347.3</v>
      </c>
      <c r="AG10" s="4" t="s">
        <v>44</v>
      </c>
      <c r="AH10" s="4">
        <v>0</v>
      </c>
      <c r="AI10" s="4">
        <v>44</v>
      </c>
      <c r="AJ10" s="4">
        <f t="shared" si="9"/>
        <v>0.44</v>
      </c>
      <c r="AK10" s="4">
        <f>AJ10*1000</f>
        <v>440</v>
      </c>
    </row>
    <row r="11" spans="1:37 16341:16384" ht="15" customHeight="1" x14ac:dyDescent="0.3">
      <c r="A11" s="16" t="s">
        <v>45</v>
      </c>
      <c r="B11" s="17">
        <v>106</v>
      </c>
      <c r="C11" s="17">
        <f t="shared" si="0"/>
        <v>304.27768496351541</v>
      </c>
      <c r="D11" s="18">
        <v>258</v>
      </c>
      <c r="E11" s="17">
        <f t="shared" si="1"/>
        <v>740.60040302440541</v>
      </c>
      <c r="F11" s="19">
        <v>113.8</v>
      </c>
      <c r="G11" s="17">
        <f t="shared" si="2"/>
        <v>326.66792970611368</v>
      </c>
      <c r="H11" s="17">
        <v>533</v>
      </c>
      <c r="I11" s="17">
        <f t="shared" si="3"/>
        <v>1530.000057410884</v>
      </c>
      <c r="J11" s="4">
        <v>1.85</v>
      </c>
      <c r="K11" s="4">
        <v>1130</v>
      </c>
      <c r="L11" s="17">
        <f t="shared" si="4"/>
        <v>3243.7149434789849</v>
      </c>
      <c r="M11" s="4">
        <v>4.2</v>
      </c>
      <c r="N11" s="4">
        <v>1.4</v>
      </c>
      <c r="O11" s="4">
        <f t="shared" si="5"/>
        <v>616</v>
      </c>
      <c r="P11" s="17">
        <f t="shared" si="6"/>
        <v>1768.2552258257122</v>
      </c>
      <c r="Q11" s="4">
        <v>2.2999999999999998</v>
      </c>
      <c r="R11" s="4">
        <v>0.62</v>
      </c>
      <c r="S11" s="4">
        <v>348.36599999999999</v>
      </c>
      <c r="T11" s="4">
        <v>2.2200000000000002</v>
      </c>
      <c r="U11" s="5">
        <f t="shared" si="10"/>
        <v>2756.8</v>
      </c>
      <c r="V11" s="4">
        <f t="shared" si="7"/>
        <v>1411.7441800000008</v>
      </c>
      <c r="W11" s="4">
        <f t="shared" si="11"/>
        <v>0.41</v>
      </c>
      <c r="Y11" s="4">
        <f t="shared" si="8"/>
        <v>1110.0000000000002</v>
      </c>
      <c r="AB11" s="4">
        <v>417.8</v>
      </c>
      <c r="AG11" s="4" t="s">
        <v>46</v>
      </c>
      <c r="AH11" s="4">
        <v>1</v>
      </c>
      <c r="AI11" s="4">
        <v>13</v>
      </c>
      <c r="AJ11" s="4">
        <f t="shared" si="9"/>
        <v>1.1299999999999999</v>
      </c>
      <c r="AK11" s="4">
        <f>AJ11*1000</f>
        <v>1130</v>
      </c>
    </row>
    <row r="12" spans="1:37 16341:16384" ht="15" customHeight="1" x14ac:dyDescent="0.3">
      <c r="A12" s="20" t="s">
        <v>47</v>
      </c>
      <c r="B12" s="21">
        <v>23</v>
      </c>
      <c r="C12" s="17">
        <f t="shared" si="0"/>
        <v>744.36065892100066</v>
      </c>
      <c r="D12" s="22">
        <v>21</v>
      </c>
      <c r="E12" s="17">
        <f t="shared" si="1"/>
        <v>679.63364510178326</v>
      </c>
      <c r="F12" s="23">
        <v>0.1</v>
      </c>
      <c r="G12" s="17">
        <f t="shared" si="2"/>
        <v>3.2363506909608724</v>
      </c>
      <c r="H12" s="21">
        <v>29</v>
      </c>
      <c r="I12" s="17">
        <f t="shared" si="3"/>
        <v>938.54170037865299</v>
      </c>
      <c r="J12" s="4">
        <v>0.1</v>
      </c>
      <c r="K12" s="4">
        <v>900</v>
      </c>
      <c r="L12" s="17">
        <f t="shared" si="4"/>
        <v>29127.156218647851</v>
      </c>
      <c r="M12" s="4">
        <v>0.5</v>
      </c>
      <c r="N12" s="4">
        <v>0.2</v>
      </c>
      <c r="O12" s="4">
        <f t="shared" si="5"/>
        <v>88.000000000000014</v>
      </c>
      <c r="P12" s="17">
        <f t="shared" si="6"/>
        <v>2847.9886080455681</v>
      </c>
      <c r="Q12" s="4">
        <v>0.2</v>
      </c>
      <c r="R12" s="4">
        <v>0.91</v>
      </c>
      <c r="S12" s="4">
        <v>30.899000000000001</v>
      </c>
      <c r="T12" s="4">
        <v>0.22</v>
      </c>
      <c r="U12" s="5">
        <f t="shared" si="10"/>
        <v>1061.1000000000001</v>
      </c>
      <c r="V12" s="4">
        <f t="shared" si="7"/>
        <v>927.80618000000015</v>
      </c>
      <c r="W12" s="4">
        <f t="shared" si="11"/>
        <v>3</v>
      </c>
      <c r="Y12" s="4">
        <f t="shared" si="8"/>
        <v>110</v>
      </c>
      <c r="AB12" s="4">
        <v>41.9</v>
      </c>
      <c r="AG12" s="4" t="s">
        <v>48</v>
      </c>
      <c r="AH12" s="4">
        <v>0</v>
      </c>
      <c r="AI12" s="4">
        <v>90</v>
      </c>
      <c r="AJ12" s="4">
        <f t="shared" si="9"/>
        <v>0.9</v>
      </c>
      <c r="AK12" s="4">
        <f>AJ12*1000</f>
        <v>900</v>
      </c>
    </row>
    <row r="13" spans="1:37 16341:16384" ht="15" customHeight="1" x14ac:dyDescent="0.3">
      <c r="A13" s="16" t="s">
        <v>49</v>
      </c>
      <c r="B13" s="17">
        <v>97</v>
      </c>
      <c r="C13" s="17">
        <f t="shared" si="0"/>
        <v>379.78598863774289</v>
      </c>
      <c r="D13" s="18">
        <v>133</v>
      </c>
      <c r="E13" s="17">
        <f t="shared" si="1"/>
        <v>520.73748957546184</v>
      </c>
      <c r="F13" s="19">
        <v>81.3</v>
      </c>
      <c r="G13" s="17">
        <f t="shared" si="2"/>
        <v>318.31547295101541</v>
      </c>
      <c r="H13" s="17">
        <v>152</v>
      </c>
      <c r="I13" s="17">
        <f t="shared" si="3"/>
        <v>595.12855951481356</v>
      </c>
      <c r="J13" s="4">
        <v>1.57</v>
      </c>
      <c r="K13" s="4">
        <v>720</v>
      </c>
      <c r="L13" s="17">
        <f t="shared" si="4"/>
        <v>2819.0300187543803</v>
      </c>
      <c r="M13" s="4">
        <v>2.9</v>
      </c>
      <c r="N13" s="4">
        <v>1</v>
      </c>
      <c r="O13" s="4">
        <f t="shared" si="5"/>
        <v>440</v>
      </c>
      <c r="P13" s="17">
        <f t="shared" si="6"/>
        <v>1722.7405670165656</v>
      </c>
      <c r="Q13" s="4">
        <v>1.6</v>
      </c>
      <c r="R13" s="4">
        <v>0.61</v>
      </c>
      <c r="S13" s="4">
        <v>255.40700000000001</v>
      </c>
      <c r="T13" s="4">
        <v>1.5</v>
      </c>
      <c r="U13" s="5">
        <f t="shared" si="10"/>
        <v>1623.3</v>
      </c>
      <c r="V13" s="4">
        <f t="shared" si="7"/>
        <v>714.47850000000039</v>
      </c>
      <c r="W13" s="4">
        <f t="shared" si="11"/>
        <v>0.28000000000000003</v>
      </c>
      <c r="Y13" s="4">
        <f t="shared" si="8"/>
        <v>750</v>
      </c>
      <c r="AB13" s="4">
        <v>281.7</v>
      </c>
      <c r="AG13" s="4" t="s">
        <v>50</v>
      </c>
      <c r="AH13" s="4">
        <v>0</v>
      </c>
      <c r="AI13" s="4">
        <v>72</v>
      </c>
      <c r="AJ13" s="4">
        <f t="shared" si="9"/>
        <v>0.72</v>
      </c>
      <c r="AK13" s="4">
        <f>AJ13*1000</f>
        <v>720</v>
      </c>
    </row>
    <row r="14" spans="1:37 16341:16384" ht="15" customHeight="1" x14ac:dyDescent="0.3">
      <c r="A14" s="20" t="s">
        <v>51</v>
      </c>
      <c r="B14" s="21">
        <v>1078</v>
      </c>
      <c r="C14" s="17">
        <f t="shared" si="0"/>
        <v>418.69215795025718</v>
      </c>
      <c r="D14" s="22">
        <v>1691</v>
      </c>
      <c r="E14" s="17">
        <f t="shared" si="1"/>
        <v>656.77962810193401</v>
      </c>
      <c r="F14" s="21">
        <v>3100</v>
      </c>
      <c r="G14" s="17">
        <f t="shared" si="2"/>
        <v>1204.0312519905353</v>
      </c>
      <c r="H14" s="21">
        <v>6670</v>
      </c>
      <c r="I14" s="17">
        <f t="shared" si="3"/>
        <v>2590.6091776699586</v>
      </c>
      <c r="J14" s="4">
        <v>17.13</v>
      </c>
      <c r="K14" s="4">
        <v>5380</v>
      </c>
      <c r="L14" s="17">
        <f t="shared" si="4"/>
        <v>2089.5768179706711</v>
      </c>
      <c r="M14" s="4">
        <v>62</v>
      </c>
      <c r="N14" s="4">
        <v>20.7</v>
      </c>
      <c r="O14" s="4">
        <f t="shared" si="5"/>
        <v>9107.9999999999982</v>
      </c>
      <c r="P14" s="17">
        <f t="shared" si="6"/>
        <v>3537.5214977838045</v>
      </c>
      <c r="Q14" s="4">
        <v>16.3</v>
      </c>
      <c r="R14" s="4">
        <v>1.27</v>
      </c>
      <c r="S14" s="4">
        <v>2574.6840000000002</v>
      </c>
      <c r="T14" s="4">
        <v>15.91</v>
      </c>
      <c r="U14" s="5">
        <f t="shared" si="10"/>
        <v>27027</v>
      </c>
      <c r="V14" s="4">
        <f t="shared" si="7"/>
        <v>17387.433290000004</v>
      </c>
      <c r="W14" s="4">
        <f t="shared" si="11"/>
        <v>0.68</v>
      </c>
      <c r="Y14" s="4">
        <f t="shared" si="8"/>
        <v>7955</v>
      </c>
      <c r="AB14" s="4">
        <v>2991.1</v>
      </c>
      <c r="AG14" s="4" t="s">
        <v>52</v>
      </c>
      <c r="AH14" s="4">
        <v>5</v>
      </c>
      <c r="AI14" s="4">
        <v>38</v>
      </c>
      <c r="AJ14" s="4">
        <f t="shared" si="9"/>
        <v>5.38</v>
      </c>
      <c r="AK14" s="4">
        <f>AJ14*1000</f>
        <v>5380</v>
      </c>
    </row>
    <row r="15" spans="1:37 16341:16384" ht="15" customHeight="1" x14ac:dyDescent="0.3">
      <c r="A15" s="16" t="s">
        <v>53</v>
      </c>
      <c r="B15" s="17">
        <v>973</v>
      </c>
      <c r="C15" s="17">
        <f t="shared" si="0"/>
        <v>260.89302099102883</v>
      </c>
      <c r="D15" s="25">
        <v>2700</v>
      </c>
      <c r="E15" s="17">
        <f t="shared" si="1"/>
        <v>723.95802330501317</v>
      </c>
      <c r="F15" s="19">
        <v>1595.2</v>
      </c>
      <c r="G15" s="17">
        <f t="shared" si="2"/>
        <v>427.72512547265075</v>
      </c>
      <c r="H15" s="17">
        <v>8344</v>
      </c>
      <c r="I15" s="17">
        <f t="shared" si="3"/>
        <v>2237.2984246137148</v>
      </c>
      <c r="J15" s="4">
        <v>20.100000000000001</v>
      </c>
      <c r="K15" s="4">
        <v>6400</v>
      </c>
      <c r="L15" s="17">
        <f t="shared" si="4"/>
        <v>1716.0486478341052</v>
      </c>
      <c r="M15" s="4">
        <v>57.7</v>
      </c>
      <c r="N15" s="4">
        <v>19.3</v>
      </c>
      <c r="O15" s="4">
        <f t="shared" si="5"/>
        <v>8492</v>
      </c>
      <c r="P15" s="17">
        <f t="shared" si="6"/>
        <v>2276.9820495948784</v>
      </c>
      <c r="Q15" s="4">
        <v>24.5</v>
      </c>
      <c r="R15" s="4">
        <v>0.79</v>
      </c>
      <c r="S15" s="4">
        <v>3729.498</v>
      </c>
      <c r="T15" s="4">
        <v>24.1</v>
      </c>
      <c r="U15" s="5">
        <f t="shared" si="10"/>
        <v>28504.2</v>
      </c>
      <c r="V15" s="4">
        <f t="shared" si="7"/>
        <v>13902.467900000009</v>
      </c>
      <c r="W15" s="4">
        <f t="shared" si="11"/>
        <v>0.37</v>
      </c>
      <c r="Y15" s="4">
        <f t="shared" si="8"/>
        <v>12050</v>
      </c>
      <c r="AB15" s="4">
        <v>4529.7</v>
      </c>
      <c r="AG15" s="4" t="s">
        <v>54</v>
      </c>
      <c r="AH15" s="4">
        <v>6</v>
      </c>
      <c r="AI15" s="4">
        <v>40</v>
      </c>
      <c r="AJ15" s="4">
        <f t="shared" si="9"/>
        <v>6.4</v>
      </c>
      <c r="AK15" s="4">
        <f>AJ15*1000</f>
        <v>6400</v>
      </c>
    </row>
    <row r="16" spans="1:37 16341:16384" ht="15" customHeight="1" x14ac:dyDescent="0.3">
      <c r="A16" s="20" t="s">
        <v>55</v>
      </c>
      <c r="B16" s="21">
        <v>91</v>
      </c>
      <c r="C16" s="17">
        <f t="shared" si="0"/>
        <v>503.09319386779151</v>
      </c>
      <c r="D16" s="22">
        <v>54</v>
      </c>
      <c r="E16" s="17">
        <f t="shared" si="1"/>
        <v>298.53881833912902</v>
      </c>
      <c r="F16" s="23">
        <v>22.7</v>
      </c>
      <c r="G16" s="17">
        <f t="shared" si="2"/>
        <v>125.4968736351524</v>
      </c>
      <c r="H16" s="21">
        <v>118</v>
      </c>
      <c r="I16" s="17">
        <f t="shared" si="3"/>
        <v>652.36260303735605</v>
      </c>
      <c r="J16" s="4">
        <v>3.09</v>
      </c>
      <c r="K16" s="4">
        <v>2540</v>
      </c>
      <c r="L16" s="17">
        <f t="shared" si="4"/>
        <v>14042.381455210885</v>
      </c>
      <c r="M16" s="4">
        <v>6.3</v>
      </c>
      <c r="N16" s="4">
        <v>2.1</v>
      </c>
      <c r="O16" s="4">
        <f t="shared" si="5"/>
        <v>924</v>
      </c>
      <c r="P16" s="17">
        <f t="shared" si="6"/>
        <v>5108.3308915806529</v>
      </c>
      <c r="Q16" s="4">
        <v>1.3</v>
      </c>
      <c r="R16" s="4">
        <v>1.61</v>
      </c>
      <c r="S16" s="4">
        <v>180.881</v>
      </c>
      <c r="T16" s="4">
        <v>1.32</v>
      </c>
      <c r="U16" s="5">
        <f t="shared" si="10"/>
        <v>3749.7</v>
      </c>
      <c r="V16" s="4">
        <f t="shared" si="7"/>
        <v>2949.9370800000002</v>
      </c>
      <c r="W16" s="4">
        <f t="shared" si="11"/>
        <v>1.63</v>
      </c>
      <c r="Y16" s="4">
        <f t="shared" si="8"/>
        <v>660</v>
      </c>
      <c r="AB16" s="4">
        <v>248.4</v>
      </c>
      <c r="AG16" s="4" t="s">
        <v>56</v>
      </c>
      <c r="AH16" s="4">
        <v>2</v>
      </c>
      <c r="AI16" s="4">
        <v>54</v>
      </c>
      <c r="AJ16" s="4">
        <f t="shared" si="9"/>
        <v>2.54</v>
      </c>
      <c r="AK16" s="4">
        <f>AJ16*1000</f>
        <v>2540</v>
      </c>
    </row>
    <row r="17" spans="1:37 16384:16384" ht="15" customHeight="1" x14ac:dyDescent="0.3">
      <c r="A17" s="16" t="s">
        <v>57</v>
      </c>
      <c r="B17" s="17">
        <v>139</v>
      </c>
      <c r="C17" s="17">
        <f t="shared" si="0"/>
        <v>933.3619832934919</v>
      </c>
      <c r="D17" s="18">
        <v>113</v>
      </c>
      <c r="E17" s="17">
        <f t="shared" si="1"/>
        <v>758.77628857672369</v>
      </c>
      <c r="F17" s="19">
        <v>5.9</v>
      </c>
      <c r="G17" s="17">
        <f t="shared" si="2"/>
        <v>39.61752303188203</v>
      </c>
      <c r="H17" s="17">
        <v>208</v>
      </c>
      <c r="I17" s="17">
        <f t="shared" si="3"/>
        <v>1396.6855577341462</v>
      </c>
      <c r="J17" s="4">
        <v>0.76</v>
      </c>
      <c r="K17" s="4">
        <v>370</v>
      </c>
      <c r="L17" s="17">
        <f t="shared" si="4"/>
        <v>2484.4887325078562</v>
      </c>
      <c r="M17" s="4">
        <v>2.5</v>
      </c>
      <c r="N17" s="4">
        <v>0.9</v>
      </c>
      <c r="O17" s="4">
        <f t="shared" si="5"/>
        <v>396</v>
      </c>
      <c r="P17" s="17">
        <f t="shared" si="6"/>
        <v>2659.0744272246247</v>
      </c>
      <c r="Q17" s="4">
        <v>1.1000000000000001</v>
      </c>
      <c r="R17" s="4">
        <v>0.78</v>
      </c>
      <c r="S17" s="4">
        <v>148.92400000000001</v>
      </c>
      <c r="T17" s="4">
        <v>1.1599999999999999</v>
      </c>
      <c r="U17" s="5">
        <f t="shared" si="10"/>
        <v>1231.9000000000001</v>
      </c>
      <c r="V17" s="4">
        <f t="shared" si="7"/>
        <v>529.07804000000056</v>
      </c>
      <c r="W17" s="4">
        <f t="shared" si="11"/>
        <v>0.36</v>
      </c>
      <c r="Y17" s="4">
        <f t="shared" si="8"/>
        <v>579.99999999999989</v>
      </c>
      <c r="AB17" s="4">
        <v>218.8</v>
      </c>
      <c r="AG17" s="4" t="s">
        <v>58</v>
      </c>
      <c r="AH17" s="4">
        <v>0</v>
      </c>
      <c r="AI17" s="4">
        <v>37</v>
      </c>
      <c r="AJ17" s="4">
        <f t="shared" si="9"/>
        <v>0.37</v>
      </c>
      <c r="AK17" s="4">
        <f>AJ17*1000</f>
        <v>370</v>
      </c>
    </row>
    <row r="18" spans="1:37 16384:16384" ht="15" customHeight="1" x14ac:dyDescent="0.3">
      <c r="A18" s="20" t="s">
        <v>59</v>
      </c>
      <c r="B18" s="21">
        <v>97</v>
      </c>
      <c r="C18" s="17">
        <f t="shared" si="0"/>
        <v>299.86305223490717</v>
      </c>
      <c r="D18" s="22">
        <v>160</v>
      </c>
      <c r="E18" s="17">
        <f t="shared" si="1"/>
        <v>494.61946760397058</v>
      </c>
      <c r="F18" s="23">
        <v>241.4</v>
      </c>
      <c r="G18" s="17">
        <f t="shared" si="2"/>
        <v>746.2571217474906</v>
      </c>
      <c r="H18" s="21">
        <v>331</v>
      </c>
      <c r="I18" s="17">
        <f t="shared" si="3"/>
        <v>1023.2440236057141</v>
      </c>
      <c r="J18" s="4">
        <v>2.52</v>
      </c>
      <c r="K18" s="4">
        <v>940</v>
      </c>
      <c r="L18" s="17">
        <f t="shared" si="4"/>
        <v>2905.889372173327</v>
      </c>
      <c r="M18" s="4">
        <v>3.8</v>
      </c>
      <c r="N18" s="4">
        <v>1.3</v>
      </c>
      <c r="O18" s="4">
        <f t="shared" si="5"/>
        <v>572.00000000000011</v>
      </c>
      <c r="P18" s="17">
        <f t="shared" si="6"/>
        <v>1768.2645966841951</v>
      </c>
      <c r="Q18" s="4">
        <v>3</v>
      </c>
      <c r="R18" s="4">
        <v>0.43</v>
      </c>
      <c r="S18" s="4">
        <v>323.48099999999999</v>
      </c>
      <c r="T18" s="4">
        <v>3.21</v>
      </c>
      <c r="U18" s="5">
        <f t="shared" si="10"/>
        <v>2341.4</v>
      </c>
      <c r="V18" s="4">
        <f t="shared" si="7"/>
        <v>396.5219900000011</v>
      </c>
      <c r="W18" s="4">
        <f t="shared" si="11"/>
        <v>0.12</v>
      </c>
      <c r="Y18" s="4">
        <f t="shared" si="8"/>
        <v>1605</v>
      </c>
      <c r="AB18" s="4">
        <v>602.4</v>
      </c>
      <c r="AG18" s="4" t="s">
        <v>60</v>
      </c>
      <c r="AH18" s="4">
        <v>0</v>
      </c>
      <c r="AI18" s="4">
        <v>94</v>
      </c>
      <c r="AJ18" s="4">
        <f t="shared" si="9"/>
        <v>0.94</v>
      </c>
      <c r="AK18" s="4">
        <f>AJ18*1000</f>
        <v>940</v>
      </c>
    </row>
    <row r="19" spans="1:37 16384:16384" ht="15" customHeight="1" x14ac:dyDescent="0.3">
      <c r="A19" s="16" t="s">
        <v>61</v>
      </c>
      <c r="B19" s="17">
        <v>464</v>
      </c>
      <c r="C19" s="17">
        <f t="shared" si="0"/>
        <v>255.79113330907728</v>
      </c>
      <c r="D19" s="18">
        <v>891</v>
      </c>
      <c r="E19" s="17">
        <f t="shared" si="1"/>
        <v>491.18512883273246</v>
      </c>
      <c r="F19" s="19">
        <v>544.5</v>
      </c>
      <c r="G19" s="17">
        <f t="shared" si="2"/>
        <v>300.16868984222538</v>
      </c>
      <c r="H19" s="17">
        <v>2618</v>
      </c>
      <c r="I19" s="17">
        <f t="shared" si="3"/>
        <v>1443.2353168171644</v>
      </c>
      <c r="J19" s="4">
        <v>10.01</v>
      </c>
      <c r="K19" s="4">
        <v>7110</v>
      </c>
      <c r="L19" s="17">
        <f t="shared" si="4"/>
        <v>3919.5580987662488</v>
      </c>
      <c r="M19" s="4">
        <v>56.5</v>
      </c>
      <c r="N19" s="4">
        <v>18.899999999999999</v>
      </c>
      <c r="O19" s="4">
        <f t="shared" si="5"/>
        <v>8315.9999999999982</v>
      </c>
      <c r="P19" s="17">
        <f t="shared" si="6"/>
        <v>4584.3945357721686</v>
      </c>
      <c r="Q19" s="4">
        <v>12.3</v>
      </c>
      <c r="R19" s="4">
        <v>1.54</v>
      </c>
      <c r="S19" s="4">
        <v>1813.98</v>
      </c>
      <c r="T19" s="4">
        <v>12.01</v>
      </c>
      <c r="U19" s="5">
        <f t="shared" si="10"/>
        <v>19943.5</v>
      </c>
      <c r="V19" s="4">
        <f t="shared" si="7"/>
        <v>12666.869190000003</v>
      </c>
      <c r="W19" s="4">
        <f t="shared" si="11"/>
        <v>0.7</v>
      </c>
      <c r="Y19" s="4">
        <f t="shared" si="8"/>
        <v>6005</v>
      </c>
      <c r="AB19" s="4">
        <v>2258</v>
      </c>
      <c r="AG19" s="4" t="s">
        <v>62</v>
      </c>
      <c r="AH19" s="4">
        <v>7</v>
      </c>
      <c r="AI19" s="4">
        <v>11</v>
      </c>
      <c r="AJ19" s="4">
        <f t="shared" si="9"/>
        <v>7.11</v>
      </c>
      <c r="AK19" s="4">
        <f>AJ19*1000</f>
        <v>7110</v>
      </c>
    </row>
    <row r="20" spans="1:37 16384:16384" ht="15" customHeight="1" x14ac:dyDescent="0.3">
      <c r="A20" s="20" t="s">
        <v>63</v>
      </c>
      <c r="B20" s="21">
        <v>27</v>
      </c>
      <c r="C20" s="17">
        <f t="shared" si="0"/>
        <v>816.32653061224482</v>
      </c>
      <c r="D20" s="22">
        <v>20</v>
      </c>
      <c r="E20" s="17">
        <f t="shared" si="1"/>
        <v>604.68631897203318</v>
      </c>
      <c r="F20" s="21">
        <v>0</v>
      </c>
      <c r="G20" s="17">
        <f t="shared" si="2"/>
        <v>0</v>
      </c>
      <c r="H20" s="21">
        <v>20</v>
      </c>
      <c r="I20" s="17">
        <f t="shared" si="3"/>
        <v>604.68631897203318</v>
      </c>
      <c r="J20" s="4">
        <v>0.27</v>
      </c>
      <c r="K20" s="4">
        <v>180</v>
      </c>
      <c r="L20" s="17">
        <f t="shared" si="4"/>
        <v>5442.1768707482988</v>
      </c>
      <c r="M20" s="4">
        <v>0.5</v>
      </c>
      <c r="N20" s="4">
        <v>0.2</v>
      </c>
      <c r="O20" s="4">
        <f t="shared" si="5"/>
        <v>88.000000000000014</v>
      </c>
      <c r="P20" s="17">
        <f t="shared" si="6"/>
        <v>2660.6198034769463</v>
      </c>
      <c r="Q20" s="4">
        <v>0.3</v>
      </c>
      <c r="R20" s="4">
        <v>0.55000000000000004</v>
      </c>
      <c r="S20" s="4">
        <v>33.075000000000003</v>
      </c>
      <c r="T20" s="4">
        <v>0.23</v>
      </c>
      <c r="U20" s="5">
        <f t="shared" si="10"/>
        <v>335</v>
      </c>
      <c r="V20" s="4">
        <f t="shared" si="7"/>
        <v>195.64737000000005</v>
      </c>
      <c r="W20" s="4">
        <f t="shared" si="11"/>
        <v>0.59</v>
      </c>
      <c r="Y20" s="4">
        <f t="shared" si="8"/>
        <v>115</v>
      </c>
      <c r="AB20" s="4">
        <v>43</v>
      </c>
      <c r="AG20" s="4" t="s">
        <v>64</v>
      </c>
      <c r="AH20" s="4">
        <v>0</v>
      </c>
      <c r="AI20" s="4">
        <v>18</v>
      </c>
      <c r="AJ20" s="4">
        <f t="shared" si="9"/>
        <v>0.18</v>
      </c>
      <c r="AK20" s="4">
        <f>AJ20*1000</f>
        <v>180</v>
      </c>
    </row>
    <row r="21" spans="1:37 16384:16384" ht="15" customHeight="1" x14ac:dyDescent="0.3">
      <c r="A21" s="16" t="s">
        <v>65</v>
      </c>
      <c r="B21" s="17">
        <v>41</v>
      </c>
      <c r="C21" s="17">
        <f t="shared" si="0"/>
        <v>759.03436018957348</v>
      </c>
      <c r="D21" s="18">
        <v>24</v>
      </c>
      <c r="E21" s="17">
        <f t="shared" si="1"/>
        <v>444.31279620853081</v>
      </c>
      <c r="F21" s="19">
        <v>0.1</v>
      </c>
      <c r="G21" s="17">
        <f t="shared" si="2"/>
        <v>1.8513033175355451</v>
      </c>
      <c r="H21" s="17">
        <v>31</v>
      </c>
      <c r="I21" s="17">
        <f t="shared" si="3"/>
        <v>573.90402843601896</v>
      </c>
      <c r="J21" s="4">
        <v>0.21</v>
      </c>
      <c r="K21" s="4">
        <v>140</v>
      </c>
      <c r="L21" s="17">
        <f t="shared" si="4"/>
        <v>2591.824644549763</v>
      </c>
      <c r="M21" s="4">
        <v>0.8</v>
      </c>
      <c r="N21" s="4">
        <v>0.3</v>
      </c>
      <c r="O21" s="4">
        <f t="shared" si="5"/>
        <v>132</v>
      </c>
      <c r="P21" s="17">
        <f t="shared" si="6"/>
        <v>2443.7203791469196</v>
      </c>
      <c r="Q21" s="4">
        <v>0.5</v>
      </c>
      <c r="R21" s="4">
        <v>0.53</v>
      </c>
      <c r="S21" s="4">
        <v>54.015999999999998</v>
      </c>
      <c r="T21" s="4">
        <v>0.45</v>
      </c>
      <c r="U21" s="5">
        <f t="shared" si="10"/>
        <v>368.1</v>
      </c>
      <c r="V21" s="4">
        <f t="shared" si="7"/>
        <v>95.453550000000178</v>
      </c>
      <c r="W21" s="4">
        <f t="shared" si="11"/>
        <v>0.18</v>
      </c>
      <c r="Y21" s="4">
        <f t="shared" si="8"/>
        <v>225</v>
      </c>
      <c r="AB21" s="4">
        <v>84.3</v>
      </c>
      <c r="AG21" s="4" t="s">
        <v>66</v>
      </c>
      <c r="AH21" s="4">
        <v>0</v>
      </c>
      <c r="AI21" s="4">
        <v>14</v>
      </c>
      <c r="AJ21" s="4">
        <f t="shared" si="9"/>
        <v>0.14000000000000001</v>
      </c>
      <c r="AK21" s="4">
        <f>AJ21*1000</f>
        <v>140</v>
      </c>
    </row>
    <row r="22" spans="1:37 16384:16384" ht="15" customHeight="1" x14ac:dyDescent="0.3">
      <c r="A22" s="20" t="s">
        <v>67</v>
      </c>
      <c r="B22" s="21">
        <v>10</v>
      </c>
      <c r="C22" s="17">
        <f t="shared" si="0"/>
        <v>198.13750743015655</v>
      </c>
      <c r="D22" s="26"/>
      <c r="E22" s="17">
        <f t="shared" si="1"/>
        <v>0</v>
      </c>
      <c r="F22" s="21">
        <v>0</v>
      </c>
      <c r="G22" s="17">
        <f t="shared" si="2"/>
        <v>0</v>
      </c>
      <c r="H22" s="21">
        <v>208</v>
      </c>
      <c r="I22" s="17">
        <f t="shared" si="3"/>
        <v>4121.2601545472562</v>
      </c>
      <c r="J22" s="4">
        <v>1.55</v>
      </c>
      <c r="K22" s="4">
        <v>210</v>
      </c>
      <c r="L22" s="17">
        <f t="shared" si="4"/>
        <v>4160.8876560332874</v>
      </c>
      <c r="M22" s="4">
        <v>1.8</v>
      </c>
      <c r="N22" s="4">
        <v>0.6</v>
      </c>
      <c r="O22" s="4">
        <f t="shared" si="5"/>
        <v>264</v>
      </c>
      <c r="P22" s="17">
        <f t="shared" si="6"/>
        <v>5230.8301961561328</v>
      </c>
      <c r="Q22" s="4">
        <v>0.5</v>
      </c>
      <c r="R22" s="4">
        <v>1.21</v>
      </c>
      <c r="S22" s="4">
        <v>50.47</v>
      </c>
      <c r="T22" s="4">
        <v>0.48</v>
      </c>
      <c r="U22" s="5">
        <f t="shared" si="10"/>
        <v>692</v>
      </c>
      <c r="V22" s="4">
        <f t="shared" si="7"/>
        <v>401.17712000000012</v>
      </c>
      <c r="W22" s="4">
        <f t="shared" si="11"/>
        <v>0.79</v>
      </c>
      <c r="Y22" s="4">
        <f t="shared" si="8"/>
        <v>240</v>
      </c>
      <c r="AB22" s="4">
        <v>89.5</v>
      </c>
      <c r="AG22" s="4" t="s">
        <v>68</v>
      </c>
      <c r="AH22" s="4">
        <v>0</v>
      </c>
      <c r="AI22" s="4">
        <v>21</v>
      </c>
      <c r="AJ22" s="4">
        <f t="shared" si="9"/>
        <v>0.21</v>
      </c>
      <c r="AK22" s="4">
        <f>AJ22*1000</f>
        <v>210</v>
      </c>
    </row>
    <row r="23" spans="1:37 16384:16384" ht="15" customHeight="1" x14ac:dyDescent="0.3">
      <c r="A23" s="16" t="s">
        <v>69</v>
      </c>
      <c r="B23" s="17">
        <v>7</v>
      </c>
      <c r="C23" s="17">
        <f t="shared" si="0"/>
        <v>510.5389832980818</v>
      </c>
      <c r="D23" s="24"/>
      <c r="E23" s="17">
        <f t="shared" si="1"/>
        <v>0</v>
      </c>
      <c r="F23" s="17">
        <v>0</v>
      </c>
      <c r="G23" s="17">
        <f t="shared" si="2"/>
        <v>0</v>
      </c>
      <c r="H23" s="17">
        <v>9</v>
      </c>
      <c r="I23" s="17">
        <f t="shared" si="3"/>
        <v>656.40726424039087</v>
      </c>
      <c r="J23" s="4">
        <v>0.28999999999999998</v>
      </c>
      <c r="K23" s="4">
        <v>270</v>
      </c>
      <c r="L23" s="17">
        <f t="shared" si="4"/>
        <v>19692.217927211728</v>
      </c>
      <c r="M23" s="4">
        <v>0.9</v>
      </c>
      <c r="N23" s="4">
        <v>0.3</v>
      </c>
      <c r="O23" s="4">
        <f t="shared" si="5"/>
        <v>132</v>
      </c>
      <c r="P23" s="17">
        <f t="shared" si="6"/>
        <v>9627.3065421924002</v>
      </c>
      <c r="Q23" s="4">
        <v>0.1</v>
      </c>
      <c r="R23" s="4">
        <v>3.11</v>
      </c>
      <c r="S23" s="4">
        <v>13.711</v>
      </c>
      <c r="T23" s="4">
        <v>0.13</v>
      </c>
      <c r="U23" s="5">
        <f t="shared" si="10"/>
        <v>418</v>
      </c>
      <c r="V23" s="4">
        <f t="shared" si="7"/>
        <v>339.23547000000002</v>
      </c>
      <c r="W23" s="4">
        <f t="shared" si="11"/>
        <v>2.4700000000000002</v>
      </c>
      <c r="Y23" s="4">
        <f t="shared" si="8"/>
        <v>65</v>
      </c>
      <c r="AB23" s="4">
        <v>24.6</v>
      </c>
      <c r="AG23" s="4" t="s">
        <v>70</v>
      </c>
      <c r="AH23" s="4">
        <v>0</v>
      </c>
      <c r="AI23" s="4">
        <v>27</v>
      </c>
      <c r="AJ23" s="4">
        <f t="shared" si="9"/>
        <v>0.27</v>
      </c>
      <c r="AK23" s="4">
        <f>AJ23*1000</f>
        <v>270</v>
      </c>
    </row>
    <row r="24" spans="1:37 16384:16384" ht="15" customHeight="1" x14ac:dyDescent="0.3">
      <c r="A24" s="20" t="s">
        <v>71</v>
      </c>
      <c r="B24" s="21">
        <v>332</v>
      </c>
      <c r="C24" s="17">
        <f t="shared" si="0"/>
        <v>396.58080453344422</v>
      </c>
      <c r="D24" s="22">
        <v>652</v>
      </c>
      <c r="E24" s="17">
        <f t="shared" si="1"/>
        <v>778.8273631198964</v>
      </c>
      <c r="F24" s="21">
        <v>1961</v>
      </c>
      <c r="G24" s="17">
        <f t="shared" si="2"/>
        <v>2342.4546918376027</v>
      </c>
      <c r="H24" s="21">
        <v>913</v>
      </c>
      <c r="I24" s="17">
        <f t="shared" si="3"/>
        <v>1090.5972124669715</v>
      </c>
      <c r="J24" s="4">
        <v>8.82</v>
      </c>
      <c r="K24" s="4">
        <v>1980</v>
      </c>
      <c r="L24" s="17">
        <f t="shared" si="4"/>
        <v>2365.1505812536734</v>
      </c>
      <c r="M24" s="4">
        <v>11</v>
      </c>
      <c r="N24" s="4">
        <v>3.7</v>
      </c>
      <c r="O24" s="4">
        <f t="shared" si="5"/>
        <v>1628</v>
      </c>
      <c r="P24" s="17">
        <f t="shared" si="6"/>
        <v>1944.6793668085759</v>
      </c>
      <c r="Q24" s="4">
        <v>6</v>
      </c>
      <c r="R24" s="4">
        <v>0.61</v>
      </c>
      <c r="S24" s="4">
        <v>837.15599999999995</v>
      </c>
      <c r="T24" s="4">
        <v>6.23</v>
      </c>
      <c r="U24" s="5">
        <f t="shared" si="10"/>
        <v>7466</v>
      </c>
      <c r="V24" s="4">
        <f t="shared" si="7"/>
        <v>3691.3613700000014</v>
      </c>
      <c r="W24" s="4">
        <f t="shared" si="11"/>
        <v>0.44</v>
      </c>
      <c r="Y24" s="4">
        <f t="shared" si="8"/>
        <v>3115</v>
      </c>
      <c r="AB24" s="4">
        <v>1170.5999999999999</v>
      </c>
      <c r="AG24" s="4" t="s">
        <v>72</v>
      </c>
      <c r="AH24" s="4">
        <v>1</v>
      </c>
      <c r="AI24" s="4">
        <v>98</v>
      </c>
      <c r="AJ24" s="4">
        <f t="shared" si="9"/>
        <v>1.98</v>
      </c>
      <c r="AK24" s="4">
        <f>AJ24*1000</f>
        <v>1980</v>
      </c>
    </row>
    <row r="25" spans="1:37 16384:16384" ht="15" customHeight="1" x14ac:dyDescent="0.3">
      <c r="A25" s="16" t="s">
        <v>73</v>
      </c>
      <c r="B25" s="17">
        <v>494</v>
      </c>
      <c r="C25" s="17">
        <f t="shared" si="0"/>
        <v>901.60628277220212</v>
      </c>
      <c r="D25" s="18">
        <v>427</v>
      </c>
      <c r="E25" s="17">
        <f t="shared" si="1"/>
        <v>779.32364927880633</v>
      </c>
      <c r="F25" s="17">
        <v>63</v>
      </c>
      <c r="G25" s="17">
        <f t="shared" si="2"/>
        <v>114.98217776244684</v>
      </c>
      <c r="H25" s="17">
        <v>560</v>
      </c>
      <c r="I25" s="17">
        <f t="shared" si="3"/>
        <v>1022.0638023328607</v>
      </c>
      <c r="J25" s="4">
        <v>2.15</v>
      </c>
      <c r="K25" s="4">
        <v>1190</v>
      </c>
      <c r="L25" s="17">
        <f t="shared" si="4"/>
        <v>2171.8855799573289</v>
      </c>
      <c r="M25" s="4">
        <v>8</v>
      </c>
      <c r="N25" s="4">
        <v>2.7</v>
      </c>
      <c r="O25" s="4">
        <f t="shared" si="5"/>
        <v>1188.0000000000002</v>
      </c>
      <c r="P25" s="17">
        <f t="shared" si="6"/>
        <v>2168.235352091855</v>
      </c>
      <c r="Q25" s="4">
        <v>4.7</v>
      </c>
      <c r="R25" s="4">
        <v>0.56999999999999995</v>
      </c>
      <c r="S25" s="4">
        <v>547.91099999999994</v>
      </c>
      <c r="T25" s="4">
        <v>4.91</v>
      </c>
      <c r="U25" s="5">
        <f t="shared" si="10"/>
        <v>3922</v>
      </c>
      <c r="V25" s="4">
        <f t="shared" si="7"/>
        <v>947.12429000000111</v>
      </c>
      <c r="W25" s="4">
        <f t="shared" si="11"/>
        <v>0.17</v>
      </c>
      <c r="Y25" s="4">
        <f t="shared" si="8"/>
        <v>2455</v>
      </c>
      <c r="AB25" s="4">
        <v>922.9</v>
      </c>
      <c r="AG25" s="4" t="s">
        <v>74</v>
      </c>
      <c r="AH25" s="4">
        <v>1</v>
      </c>
      <c r="AI25" s="4">
        <v>19</v>
      </c>
      <c r="AJ25" s="4">
        <f t="shared" si="9"/>
        <v>1.19</v>
      </c>
      <c r="AK25" s="4">
        <f>AJ25*1000</f>
        <v>1190</v>
      </c>
    </row>
    <row r="26" spans="1:37 16384:16384" ht="15" customHeight="1" x14ac:dyDescent="0.3">
      <c r="A26" s="20" t="s">
        <v>75</v>
      </c>
      <c r="B26" s="21">
        <v>136</v>
      </c>
      <c r="C26" s="17">
        <f t="shared" si="0"/>
        <v>641.88790560471978</v>
      </c>
      <c r="D26" s="22">
        <v>84</v>
      </c>
      <c r="E26" s="17">
        <f t="shared" si="1"/>
        <v>396.46017699115043</v>
      </c>
      <c r="F26" s="23">
        <v>24.9</v>
      </c>
      <c r="G26" s="17">
        <f t="shared" si="2"/>
        <v>117.52212389380531</v>
      </c>
      <c r="H26" s="21">
        <v>330</v>
      </c>
      <c r="I26" s="17">
        <f t="shared" si="3"/>
        <v>1557.5221238938052</v>
      </c>
      <c r="J26" s="4">
        <v>4.1399999999999997</v>
      </c>
      <c r="K26" s="4">
        <v>1950</v>
      </c>
      <c r="L26" s="17">
        <f t="shared" si="4"/>
        <v>9203.5398230088504</v>
      </c>
      <c r="M26" s="4">
        <v>6.4</v>
      </c>
      <c r="N26" s="4">
        <v>2.1</v>
      </c>
      <c r="O26" s="4">
        <f t="shared" si="5"/>
        <v>924</v>
      </c>
      <c r="P26" s="17">
        <f t="shared" si="6"/>
        <v>4361.0619469026551</v>
      </c>
      <c r="Q26" s="4">
        <v>1.6</v>
      </c>
      <c r="R26" s="4">
        <v>1.34</v>
      </c>
      <c r="S26" s="4">
        <v>211.875</v>
      </c>
      <c r="T26" s="4">
        <v>1.63</v>
      </c>
      <c r="U26" s="5">
        <f t="shared" si="10"/>
        <v>3448.9</v>
      </c>
      <c r="V26" s="4">
        <f t="shared" si="7"/>
        <v>2461.3139700000006</v>
      </c>
      <c r="W26" s="4">
        <f t="shared" si="11"/>
        <v>1.1599999999999999</v>
      </c>
      <c r="Y26" s="4">
        <f t="shared" si="8"/>
        <v>815</v>
      </c>
      <c r="AB26" s="4">
        <v>306.8</v>
      </c>
      <c r="AG26" s="4" t="s">
        <v>76</v>
      </c>
      <c r="AH26" s="4">
        <v>1</v>
      </c>
      <c r="AI26" s="4">
        <v>95</v>
      </c>
      <c r="AJ26" s="4">
        <f t="shared" si="9"/>
        <v>1.95</v>
      </c>
      <c r="AK26" s="4">
        <f>AJ26*1000</f>
        <v>1950</v>
      </c>
    </row>
    <row r="27" spans="1:37 16384:16384" ht="15" customHeight="1" x14ac:dyDescent="0.3">
      <c r="A27" s="16" t="s">
        <v>77</v>
      </c>
      <c r="B27" s="17">
        <v>133</v>
      </c>
      <c r="C27" s="17">
        <f t="shared" si="0"/>
        <v>617.70825592628364</v>
      </c>
      <c r="D27" s="18">
        <v>30</v>
      </c>
      <c r="E27" s="17">
        <f t="shared" si="1"/>
        <v>139.33268930668052</v>
      </c>
      <c r="F27" s="19">
        <v>1.9</v>
      </c>
      <c r="G27" s="17">
        <f t="shared" si="2"/>
        <v>8.8244036560897676</v>
      </c>
      <c r="H27" s="17">
        <v>121</v>
      </c>
      <c r="I27" s="17">
        <f t="shared" si="3"/>
        <v>561.97518020361144</v>
      </c>
      <c r="J27" s="4">
        <v>0.87</v>
      </c>
      <c r="K27" s="4">
        <v>620</v>
      </c>
      <c r="L27" s="17">
        <f t="shared" si="4"/>
        <v>2879.5422456713977</v>
      </c>
      <c r="M27" s="4">
        <v>3.2</v>
      </c>
      <c r="N27" s="4">
        <v>1.1000000000000001</v>
      </c>
      <c r="O27" s="4">
        <f t="shared" si="5"/>
        <v>484.00000000000006</v>
      </c>
      <c r="P27" s="17">
        <f t="shared" si="6"/>
        <v>2247.9007208144462</v>
      </c>
      <c r="Q27" s="4">
        <v>2.2000000000000002</v>
      </c>
      <c r="R27" s="4">
        <v>0.49</v>
      </c>
      <c r="S27" s="4">
        <v>215.31200000000001</v>
      </c>
      <c r="T27" s="4">
        <v>2.02</v>
      </c>
      <c r="U27" s="5">
        <f t="shared" si="10"/>
        <v>1389.9</v>
      </c>
      <c r="V27" s="4">
        <f t="shared" si="7"/>
        <v>166.02038000000061</v>
      </c>
      <c r="W27" s="4">
        <f t="shared" si="11"/>
        <v>0.08</v>
      </c>
      <c r="Y27" s="4">
        <f t="shared" si="8"/>
        <v>1010</v>
      </c>
      <c r="AB27" s="4">
        <v>380.1</v>
      </c>
      <c r="AG27" s="4" t="s">
        <v>78</v>
      </c>
      <c r="AH27" s="4">
        <v>0</v>
      </c>
      <c r="AI27" s="4">
        <v>62</v>
      </c>
      <c r="AJ27" s="4">
        <f t="shared" si="9"/>
        <v>0.62</v>
      </c>
      <c r="AK27" s="4">
        <f>AJ27*1000</f>
        <v>620</v>
      </c>
    </row>
    <row r="28" spans="1:37 16384:16384" ht="15" customHeight="1" x14ac:dyDescent="0.3">
      <c r="A28" s="20" t="s">
        <v>79</v>
      </c>
      <c r="B28" s="21">
        <v>76</v>
      </c>
      <c r="C28" s="17">
        <f t="shared" si="0"/>
        <v>781.10546979382923</v>
      </c>
      <c r="D28" s="22">
        <v>37</v>
      </c>
      <c r="E28" s="17">
        <f t="shared" si="1"/>
        <v>380.27503134699583</v>
      </c>
      <c r="F28" s="21">
        <v>0</v>
      </c>
      <c r="G28" s="17">
        <f t="shared" si="2"/>
        <v>0</v>
      </c>
      <c r="H28" s="21">
        <v>19</v>
      </c>
      <c r="I28" s="17">
        <f t="shared" si="3"/>
        <v>195.27636744845731</v>
      </c>
      <c r="J28" s="4">
        <v>0.09</v>
      </c>
      <c r="K28" s="4">
        <v>400</v>
      </c>
      <c r="L28" s="17">
        <f t="shared" si="4"/>
        <v>4111.0814199675224</v>
      </c>
      <c r="M28" s="4">
        <v>1.3</v>
      </c>
      <c r="N28" s="4">
        <v>0.4</v>
      </c>
      <c r="O28" s="4">
        <f t="shared" si="5"/>
        <v>176.00000000000003</v>
      </c>
      <c r="P28" s="17">
        <f t="shared" si="6"/>
        <v>1808.8758247857102</v>
      </c>
      <c r="Q28" s="4">
        <v>0.7</v>
      </c>
      <c r="R28" s="4">
        <v>0.63</v>
      </c>
      <c r="S28" s="4">
        <v>97.298000000000002</v>
      </c>
      <c r="T28" s="4">
        <v>0.73</v>
      </c>
      <c r="U28" s="5">
        <f t="shared" si="10"/>
        <v>708</v>
      </c>
      <c r="V28" s="4">
        <f t="shared" si="7"/>
        <v>265.70687000000021</v>
      </c>
      <c r="W28" s="4">
        <f t="shared" si="11"/>
        <v>0.27</v>
      </c>
      <c r="Y28" s="4">
        <f t="shared" si="8"/>
        <v>365</v>
      </c>
      <c r="AB28" s="4">
        <v>136.80000000000001</v>
      </c>
      <c r="AG28" s="4" t="s">
        <v>80</v>
      </c>
      <c r="AH28" s="4">
        <v>0</v>
      </c>
      <c r="AI28" s="4">
        <v>40</v>
      </c>
      <c r="AJ28" s="4">
        <f t="shared" si="9"/>
        <v>0.4</v>
      </c>
      <c r="AK28" s="4">
        <f>AJ28*1000</f>
        <v>400</v>
      </c>
    </row>
    <row r="29" spans="1:37 16384:16384" ht="15" customHeight="1" x14ac:dyDescent="0.3">
      <c r="A29" s="16" t="s">
        <v>81</v>
      </c>
      <c r="B29" s="17">
        <v>33</v>
      </c>
      <c r="C29" s="17">
        <f t="shared" si="0"/>
        <v>641.1377280410328</v>
      </c>
      <c r="D29" s="18">
        <v>14</v>
      </c>
      <c r="E29" s="17">
        <f t="shared" si="1"/>
        <v>271.99782401740788</v>
      </c>
      <c r="F29" s="19">
        <v>0.4</v>
      </c>
      <c r="G29" s="17">
        <f t="shared" si="2"/>
        <v>7.7713664004973682</v>
      </c>
      <c r="H29" s="17">
        <v>75</v>
      </c>
      <c r="I29" s="17">
        <f t="shared" si="3"/>
        <v>1457.1312000932564</v>
      </c>
      <c r="J29" s="4">
        <v>0.05</v>
      </c>
      <c r="K29" s="4">
        <v>300</v>
      </c>
      <c r="L29" s="17">
        <f t="shared" si="4"/>
        <v>5828.5248003730258</v>
      </c>
      <c r="M29" s="4">
        <v>1.1000000000000001</v>
      </c>
      <c r="N29" s="4">
        <v>0.4</v>
      </c>
      <c r="O29" s="4">
        <f t="shared" si="5"/>
        <v>176.00000000000003</v>
      </c>
      <c r="P29" s="17">
        <f t="shared" si="6"/>
        <v>3419.4012162188424</v>
      </c>
      <c r="Q29" s="4">
        <v>0.4</v>
      </c>
      <c r="R29" s="4">
        <v>0.93</v>
      </c>
      <c r="S29" s="4">
        <v>51.470999999999997</v>
      </c>
      <c r="T29" s="4">
        <v>0.38</v>
      </c>
      <c r="U29" s="5">
        <f t="shared" si="10"/>
        <v>598.4</v>
      </c>
      <c r="V29" s="4">
        <f t="shared" si="7"/>
        <v>368.16522000000009</v>
      </c>
      <c r="W29" s="4">
        <f t="shared" si="11"/>
        <v>0.72</v>
      </c>
      <c r="Y29" s="4">
        <f t="shared" si="8"/>
        <v>190</v>
      </c>
      <c r="AB29" s="4">
        <v>70.5</v>
      </c>
      <c r="AG29" s="4" t="s">
        <v>82</v>
      </c>
      <c r="AH29" s="4">
        <v>0</v>
      </c>
      <c r="AI29" s="4">
        <v>30</v>
      </c>
      <c r="AJ29" s="4">
        <f t="shared" si="9"/>
        <v>0.3</v>
      </c>
      <c r="AK29" s="4">
        <f>AJ29*1000</f>
        <v>300</v>
      </c>
    </row>
    <row r="30" spans="1:37 16384:16384" ht="15" customHeight="1" x14ac:dyDescent="0.3">
      <c r="A30" s="20" t="s">
        <v>83</v>
      </c>
      <c r="B30" s="21">
        <v>683</v>
      </c>
      <c r="C30" s="17">
        <f t="shared" si="0"/>
        <v>562.98555443361431</v>
      </c>
      <c r="D30" s="22">
        <v>830</v>
      </c>
      <c r="E30" s="17">
        <f t="shared" si="1"/>
        <v>684.15521256207887</v>
      </c>
      <c r="F30" s="23">
        <v>240.6</v>
      </c>
      <c r="G30" s="17">
        <f t="shared" si="2"/>
        <v>198.32258330413998</v>
      </c>
      <c r="H30" s="21">
        <v>2151</v>
      </c>
      <c r="I30" s="17">
        <f t="shared" si="3"/>
        <v>1773.0335689410019</v>
      </c>
      <c r="J30" s="4">
        <v>15.18</v>
      </c>
      <c r="K30" s="4">
        <v>9330</v>
      </c>
      <c r="L30" s="17">
        <f t="shared" si="4"/>
        <v>7690.5640159086697</v>
      </c>
      <c r="M30" s="4">
        <v>30.9</v>
      </c>
      <c r="N30" s="4">
        <v>10.3</v>
      </c>
      <c r="O30" s="4">
        <f t="shared" si="5"/>
        <v>4532</v>
      </c>
      <c r="P30" s="17">
        <f t="shared" si="6"/>
        <v>3735.6523172666766</v>
      </c>
      <c r="Q30" s="4">
        <v>8.6999999999999993</v>
      </c>
      <c r="R30" s="4">
        <v>1.19</v>
      </c>
      <c r="S30" s="4">
        <v>1213.175</v>
      </c>
      <c r="T30" s="4">
        <v>8.98</v>
      </c>
      <c r="U30" s="5">
        <f t="shared" si="10"/>
        <v>17766.599999999999</v>
      </c>
      <c r="V30" s="4">
        <f t="shared" si="7"/>
        <v>12325.788619999999</v>
      </c>
      <c r="W30" s="4">
        <f t="shared" si="11"/>
        <v>1.02</v>
      </c>
      <c r="Y30" s="4">
        <f t="shared" si="8"/>
        <v>4490</v>
      </c>
      <c r="AB30" s="4">
        <v>1687.2</v>
      </c>
      <c r="AG30" s="4" t="s">
        <v>84</v>
      </c>
      <c r="AH30" s="4">
        <v>9</v>
      </c>
      <c r="AI30" s="4">
        <v>33</v>
      </c>
      <c r="AJ30" s="4">
        <f t="shared" si="9"/>
        <v>9.33</v>
      </c>
      <c r="AK30" s="4">
        <f>AJ30*1000</f>
        <v>9330</v>
      </c>
    </row>
    <row r="31" spans="1:37 16384:16384" ht="15" customHeight="1" x14ac:dyDescent="0.3">
      <c r="A31" s="16" t="s">
        <v>85</v>
      </c>
      <c r="B31" s="17">
        <v>189</v>
      </c>
      <c r="C31" s="17">
        <f t="shared" si="0"/>
        <v>341.95889979699587</v>
      </c>
      <c r="D31" s="18">
        <v>601</v>
      </c>
      <c r="E31" s="17">
        <f t="shared" si="1"/>
        <v>1087.393115227484</v>
      </c>
      <c r="F31" s="19">
        <v>245.1</v>
      </c>
      <c r="G31" s="17">
        <f t="shared" si="2"/>
        <v>443.46098592721523</v>
      </c>
      <c r="H31" s="17">
        <v>712</v>
      </c>
      <c r="I31" s="17">
        <f t="shared" si="3"/>
        <v>1288.2261198701642</v>
      </c>
      <c r="J31" s="4">
        <v>1.54</v>
      </c>
      <c r="K31" s="4">
        <v>1160</v>
      </c>
      <c r="L31" s="17">
        <f t="shared" si="4"/>
        <v>2098.7953638334138</v>
      </c>
      <c r="M31" s="4">
        <v>7.1</v>
      </c>
      <c r="N31" s="4">
        <v>2.4</v>
      </c>
      <c r="O31" s="4">
        <f t="shared" si="5"/>
        <v>1056</v>
      </c>
      <c r="P31" s="17">
        <f t="shared" si="6"/>
        <v>1910.6275036276593</v>
      </c>
      <c r="Q31" s="4">
        <v>3</v>
      </c>
      <c r="R31" s="4">
        <v>0.79</v>
      </c>
      <c r="S31" s="4">
        <v>552.69799999999998</v>
      </c>
      <c r="T31" s="4">
        <v>3.2</v>
      </c>
      <c r="U31" s="5">
        <f t="shared" si="10"/>
        <v>3963.1</v>
      </c>
      <c r="V31" s="4">
        <f t="shared" si="7"/>
        <v>2024.2808000000007</v>
      </c>
      <c r="W31" s="4">
        <f t="shared" si="11"/>
        <v>0.37</v>
      </c>
      <c r="Y31" s="4">
        <f t="shared" si="8"/>
        <v>1600</v>
      </c>
      <c r="AB31" s="4">
        <v>601.20000000000005</v>
      </c>
      <c r="AG31" s="4" t="s">
        <v>86</v>
      </c>
      <c r="AH31" s="4">
        <v>1</v>
      </c>
      <c r="AI31" s="4">
        <v>16</v>
      </c>
      <c r="AJ31" s="4">
        <f t="shared" si="9"/>
        <v>1.1599999999999999</v>
      </c>
      <c r="AK31" s="4">
        <f>AJ31*1000</f>
        <v>1160</v>
      </c>
    </row>
    <row r="32" spans="1:37 16384:16384" s="31" customFormat="1" ht="15" customHeight="1" x14ac:dyDescent="0.3">
      <c r="A32" s="27" t="s">
        <v>87</v>
      </c>
      <c r="B32" s="28">
        <v>5847</v>
      </c>
      <c r="C32" s="28"/>
      <c r="D32" s="29">
        <v>9557</v>
      </c>
      <c r="E32" s="28"/>
      <c r="F32" s="30">
        <v>8334.6</v>
      </c>
      <c r="G32" s="30"/>
      <c r="H32" s="28">
        <v>26264</v>
      </c>
      <c r="I32" s="28"/>
      <c r="K32" s="4">
        <f>SUM(K5:K31)</f>
        <v>47600</v>
      </c>
      <c r="O32" s="4">
        <f>SUM(O5:O31)</f>
        <v>44088</v>
      </c>
      <c r="Q32" s="31">
        <v>100</v>
      </c>
      <c r="S32" s="4"/>
      <c r="T32" s="31">
        <v>100</v>
      </c>
      <c r="U32" s="5">
        <f t="shared" si="10"/>
        <v>141690.6</v>
      </c>
      <c r="V32" s="4">
        <f t="shared" si="7"/>
        <v>81102.500000000029</v>
      </c>
      <c r="W32" s="31" t="e">
        <f t="shared" si="11"/>
        <v>#DIV/0!</v>
      </c>
      <c r="Y32" s="31">
        <f t="shared" si="8"/>
        <v>50000</v>
      </c>
      <c r="AB32" s="31">
        <v>18796</v>
      </c>
      <c r="AK32" s="31">
        <f>SUM(AK5:AK31)</f>
        <v>47600</v>
      </c>
      <c r="XFD32" s="4"/>
    </row>
    <row r="33" spans="2:22" x14ac:dyDescent="0.3">
      <c r="B33" s="4">
        <f>SUM(B5:B31)</f>
        <v>5847</v>
      </c>
      <c r="D33" s="4">
        <f>SUM(D5:D31)</f>
        <v>9561</v>
      </c>
      <c r="F33" s="4">
        <f>SUM(F5:F31)</f>
        <v>8334.4999999999982</v>
      </c>
      <c r="H33" s="4">
        <f>SUM(H5:H31)</f>
        <v>26264</v>
      </c>
      <c r="K33" s="4">
        <f>SUM(K5:K31)</f>
        <v>47600</v>
      </c>
      <c r="O33" s="4">
        <f>SUM(O5:O31)</f>
        <v>44088</v>
      </c>
      <c r="U33" s="5">
        <f>SUM(U5:U31)</f>
        <v>141588.09999999998</v>
      </c>
      <c r="V33" s="4">
        <f>SUM(V5:V31)</f>
        <v>80800.059270000027</v>
      </c>
    </row>
    <row r="34" spans="2:22" ht="15" customHeight="1" x14ac:dyDescent="0.3">
      <c r="J34" s="32">
        <v>93</v>
      </c>
      <c r="N34" s="32">
        <v>44</v>
      </c>
    </row>
    <row r="35" spans="2:22" x14ac:dyDescent="0.3">
      <c r="B35" s="2" t="s">
        <v>88</v>
      </c>
      <c r="C35" s="1">
        <f>SUM(B32:O32)</f>
        <v>141690.6</v>
      </c>
      <c r="D35" s="1"/>
      <c r="E35" s="1"/>
    </row>
    <row r="36" spans="2:22" x14ac:dyDescent="0.3">
      <c r="B36" s="2"/>
      <c r="C36" s="1"/>
      <c r="D36" s="1"/>
      <c r="E36" s="1"/>
    </row>
    <row r="37" spans="2:22" x14ac:dyDescent="0.3">
      <c r="B37" s="2"/>
      <c r="C37" s="1"/>
      <c r="D37" s="1"/>
      <c r="E37" s="1"/>
      <c r="S37" s="33" t="s">
        <v>89</v>
      </c>
      <c r="T37" s="34">
        <v>192.8</v>
      </c>
      <c r="U37" s="35"/>
      <c r="V37" s="36"/>
    </row>
    <row r="38" spans="2:22" x14ac:dyDescent="0.3">
      <c r="S38" s="33" t="s">
        <v>90</v>
      </c>
      <c r="T38" s="33">
        <f>T37*0.7</f>
        <v>134.96</v>
      </c>
      <c r="U38" s="35"/>
      <c r="V38" s="36"/>
    </row>
    <row r="39" spans="2:22" x14ac:dyDescent="0.3">
      <c r="S39" s="33"/>
      <c r="T39" s="33"/>
      <c r="U39" s="35"/>
      <c r="V39" s="36"/>
    </row>
    <row r="40" spans="2:22" x14ac:dyDescent="0.3">
      <c r="S40" s="37" t="s">
        <v>91</v>
      </c>
      <c r="T40" s="38">
        <v>20</v>
      </c>
      <c r="U40" s="35"/>
      <c r="V40" s="36"/>
    </row>
    <row r="41" spans="2:22" x14ac:dyDescent="0.3">
      <c r="Q41" s="39" t="s">
        <v>92</v>
      </c>
      <c r="S41" s="37" t="s">
        <v>93</v>
      </c>
      <c r="T41" s="37">
        <f>U33/1000 -T40</f>
        <v>121.58809999999997</v>
      </c>
      <c r="U41" s="35"/>
      <c r="V41" s="36"/>
    </row>
    <row r="42" spans="2:22" x14ac:dyDescent="0.3">
      <c r="S42" s="37" t="s">
        <v>94</v>
      </c>
      <c r="T42" s="37">
        <f>T41-T43-T44</f>
        <v>60.588099999999969</v>
      </c>
      <c r="U42" s="35"/>
      <c r="V42" s="36"/>
    </row>
    <row r="43" spans="2:22" x14ac:dyDescent="0.3">
      <c r="S43" s="37" t="s">
        <v>95</v>
      </c>
      <c r="T43" s="38">
        <v>35</v>
      </c>
      <c r="U43" s="35"/>
      <c r="V43" s="36"/>
    </row>
    <row r="44" spans="2:22" x14ac:dyDescent="0.3">
      <c r="S44" s="37" t="s">
        <v>96</v>
      </c>
      <c r="T44" s="38">
        <v>26</v>
      </c>
      <c r="U44" s="35"/>
      <c r="V44" s="36"/>
    </row>
    <row r="45" spans="2:22" x14ac:dyDescent="0.3">
      <c r="B45" s="36"/>
      <c r="C45" s="36"/>
      <c r="D45" s="36"/>
      <c r="E45" s="36"/>
      <c r="F45" s="36"/>
      <c r="G45" s="36"/>
      <c r="H45" s="36"/>
      <c r="I45" s="36"/>
      <c r="S45" s="37" t="s">
        <v>97</v>
      </c>
      <c r="T45" s="37">
        <f>T37+T43</f>
        <v>227.8</v>
      </c>
      <c r="U45" s="35"/>
      <c r="V45" s="36"/>
    </row>
    <row r="46" spans="2:22" x14ac:dyDescent="0.3">
      <c r="B46" s="36"/>
      <c r="C46" s="36"/>
      <c r="D46" s="36"/>
      <c r="E46" s="36"/>
      <c r="F46" s="36"/>
      <c r="G46" s="36"/>
      <c r="H46" s="36"/>
      <c r="I46" s="36"/>
      <c r="S46" s="37" t="s">
        <v>90</v>
      </c>
      <c r="T46" s="37">
        <f>T38-T42</f>
        <v>74.371900000000039</v>
      </c>
      <c r="U46" s="35"/>
      <c r="V46" s="36"/>
    </row>
    <row r="47" spans="2:22" x14ac:dyDescent="0.3">
      <c r="B47" s="36"/>
      <c r="C47" s="36"/>
      <c r="D47" s="36"/>
      <c r="E47" s="36"/>
      <c r="F47" s="36"/>
      <c r="G47" s="36"/>
      <c r="H47" s="36"/>
      <c r="I47" s="36"/>
      <c r="S47" s="37" t="s">
        <v>98</v>
      </c>
      <c r="T47" s="37">
        <f>T46/T45</f>
        <v>0.32647892888498697</v>
      </c>
      <c r="U47" s="35"/>
      <c r="V47" s="36"/>
    </row>
    <row r="50" spans="1:25" ht="18" customHeight="1" x14ac:dyDescent="0.3">
      <c r="A50" s="40"/>
      <c r="O50" s="4"/>
      <c r="P50" s="4"/>
      <c r="V50" s="4" t="s">
        <v>99</v>
      </c>
      <c r="Y50" s="4" t="s">
        <v>100</v>
      </c>
    </row>
    <row r="52" spans="1:25" ht="18" customHeight="1" x14ac:dyDescent="0.3">
      <c r="A52" s="40"/>
      <c r="K52" s="4" t="s">
        <v>5</v>
      </c>
      <c r="O52" s="4" t="s">
        <v>32</v>
      </c>
      <c r="P52" s="4"/>
    </row>
  </sheetData>
  <mergeCells count="3">
    <mergeCell ref="A1:A3"/>
    <mergeCell ref="B35:B37"/>
    <mergeCell ref="C35:E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Combined_2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fabre</cp:lastModifiedBy>
  <cp:revision>27</cp:revision>
  <dcterms:created xsi:type="dcterms:W3CDTF">2026-08-25T09:17:27Z</dcterms:created>
  <dcterms:modified xsi:type="dcterms:W3CDTF">2026-09-04T11:18:03Z</dcterms:modified>
  <dc:language>fr-FR</dc:language>
</cp:coreProperties>
</file>