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bined_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<sst xmlns="http://schemas.openxmlformats.org/spreadsheetml/2006/main" count="340" uniqueCount="212">
  <si>
    <t xml:space="preserve">Country</t>
  </si>
  <si>
    <t xml:space="preserve">DST</t>
  </si>
  <si>
    <t xml:space="preserve">Ad Tax</t>
  </si>
  <si>
    <t xml:space="preserve">FTT</t>
  </si>
  <si>
    <t xml:space="preserve">Wealth Tax</t>
  </si>
  <si>
    <t xml:space="preserve">Aviation carbon tax</t>
  </si>
  <si>
    <t xml:space="preserve">Luxury VAT</t>
  </si>
  <si>
    <t xml:space="preserve">GNI</t>
  </si>
  <si>
    <t xml:space="preserve">a</t>
  </si>
  <si>
    <t xml:space="preserve">GDP 2025 (Eurostat)</t>
  </si>
  <si>
    <t xml:space="preserve">revenues</t>
  </si>
  <si>
    <t xml:space="preserve">source</t>
  </si>
  <si>
    <t xml:space="preserve">Share s</t>
  </si>
  <si>
    <t xml:space="preserve">already NOR</t>
  </si>
  <si>
    <t xml:space="preserve">Our scenario</t>
  </si>
  <si>
    <t xml:space="preserve">Scenario 0</t>
  </si>
  <si>
    <t xml:space="preserve">+ externalité</t>
  </si>
  <si>
    <t xml:space="preserve">GDP</t>
  </si>
  <si>
    <t xml:space="preserve">Millions EUR</t>
  </si>
  <si>
    <t xml:space="preserve">/GNI %</t>
  </si>
  <si>
    <t xml:space="preserve">(%)</t>
  </si>
  <si>
    <t xml:space="preserve">NOR total (Ad 80%)</t>
  </si>
  <si>
    <t xml:space="preserve">rapporté au PIB ( %)</t>
  </si>
  <si>
    <t xml:space="preserve">50 bn répartis par s</t>
  </si>
  <si>
    <t xml:space="preserve">(EUR bn)</t>
  </si>
  <si>
    <t xml:space="preserve">table</t>
  </si>
  <si>
    <t xml:space="preserve">A 3\% DST</t>
  </si>
  <si>
    <t xml:space="preserve">15\% Ad tax </t>
  </si>
  <si>
    <t xml:space="preserve">0.5\% FTT</t>
  </si>
  <si>
    <t xml:space="preserve">Wealth tax</t>
  </si>
  <si>
    <t xml:space="preserve">table_s</t>
  </si>
  <si>
    <t xml:space="preserve">table_scenario</t>
  </si>
  <si>
    <t xml:space="preserve">6 NOR scenario</t>
  </si>
  <si>
    <t xml:space="preserve">Status-quo scenario</t>
  </si>
  <si>
    <t xml:space="preserve">table_sscenario</t>
  </si>
  <si>
    <t xml:space="preserve">tax base </t>
  </si>
  <si>
    <t xml:space="preserve">share of </t>
  </si>
  <si>
    <t xml:space="preserve">passenger flow preserving reform</t>
  </si>
  <si>
    <t xml:space="preserve">Austria</t>
  </si>
  <si>
    <t xml:space="preserve">Austria        </t>
  </si>
  <si>
    <t xml:space="preserve">Austria     </t>
  </si>
  <si>
    <t xml:space="preserve">  3,73 \\</t>
  </si>
  <si>
    <t xml:space="preserve">Austria              </t>
  </si>
  <si>
    <t xml:space="preserve"> 124$^{a}$       </t>
  </si>
  <si>
    <t xml:space="preserve"> 0.57 \\</t>
  </si>
  <si>
    <t xml:space="preserve">Belgium</t>
  </si>
  <si>
    <t xml:space="preserve">Belgium        </t>
  </si>
  <si>
    <t xml:space="preserve">Belgium     </t>
  </si>
  <si>
    <t xml:space="preserve">  3,08 \\</t>
  </si>
  <si>
    <t xml:space="preserve">Belgium              </t>
  </si>
  <si>
    <t xml:space="preserve"> ---       </t>
  </si>
  <si>
    <t xml:space="preserve"> 0.25 \\</t>
  </si>
  <si>
    <t xml:space="preserve">Bulgaria</t>
  </si>
  <si>
    <t xml:space="preserve">Bulgaria       </t>
  </si>
  <si>
    <t xml:space="preserve">  4,73 \\</t>
  </si>
  <si>
    <t xml:space="preserve">Bulgaria             </t>
  </si>
  <si>
    <t xml:space="preserve"> 0.15 \\</t>
  </si>
  <si>
    <t xml:space="preserve">Croatia</t>
  </si>
  <si>
    <t xml:space="preserve">Croatia        </t>
  </si>
  <si>
    <t xml:space="preserve">  7,63 \\</t>
  </si>
  <si>
    <t xml:space="preserve">Croatia              </t>
  </si>
  <si>
    <t xml:space="preserve"> 0.28 \\</t>
  </si>
  <si>
    <t xml:space="preserve">Cyprus</t>
  </si>
  <si>
    <t xml:space="preserve">Cyprus         </t>
  </si>
  <si>
    <t xml:space="preserve"> 16,92 \\</t>
  </si>
  <si>
    <t xml:space="preserve">Cyprus               </t>
  </si>
  <si>
    <t xml:space="preserve"> ---$^{b}$ </t>
  </si>
  <si>
    <t xml:space="preserve">Cyprus$^{a}$   </t>
  </si>
  <si>
    <t xml:space="preserve"> 0.45 \\</t>
  </si>
  <si>
    <t xml:space="preserve">Czechia</t>
  </si>
  <si>
    <t xml:space="preserve">Czechia        </t>
  </si>
  <si>
    <t xml:space="preserve">Czechia     </t>
  </si>
  <si>
    <t xml:space="preserve">  2,52 \\</t>
  </si>
  <si>
    <t xml:space="preserve">Czech Republic       </t>
  </si>
  <si>
    <t xml:space="preserve">Czech Republic </t>
  </si>
  <si>
    <t xml:space="preserve"> 0.72 \\</t>
  </si>
  <si>
    <t xml:space="preserve">Denmark</t>
  </si>
  <si>
    <t xml:space="preserve">Denmark        </t>
  </si>
  <si>
    <t xml:space="preserve">Denmark     </t>
  </si>
  <si>
    <t xml:space="preserve">  4,77 \\</t>
  </si>
  <si>
    <t xml:space="preserve">Denmark              </t>
  </si>
  <si>
    <t xml:space="preserve"> 0.53 \\</t>
  </si>
  <si>
    <t xml:space="preserve">Estonia</t>
  </si>
  <si>
    <t xml:space="preserve">Estonia        </t>
  </si>
  <si>
    <t xml:space="preserve">  4,16 \\</t>
  </si>
  <si>
    <t xml:space="preserve">Estonia              </t>
  </si>
  <si>
    <t xml:space="preserve"> 0.44 \\</t>
  </si>
  <si>
    <t xml:space="preserve">Finland</t>
  </si>
  <si>
    <t xml:space="preserve">Finland        </t>
  </si>
  <si>
    <t xml:space="preserve">  4,34 \\</t>
  </si>
  <si>
    <t xml:space="preserve">Finland              </t>
  </si>
  <si>
    <t xml:space="preserve"> 0.40 \\</t>
  </si>
  <si>
    <t xml:space="preserve">France</t>
  </si>
  <si>
    <t xml:space="preserve">France         </t>
  </si>
  <si>
    <t xml:space="preserve">France      </t>
  </si>
  <si>
    <t xml:space="preserve">  3,12 \\</t>
  </si>
  <si>
    <t xml:space="preserve">France               </t>
  </si>
  <si>
    <t xml:space="preserve"> 760$^{c}$ </t>
  </si>
  <si>
    <t xml:space="preserve"> 0.48 \\</t>
  </si>
  <si>
    <t xml:space="preserve">Germany</t>
  </si>
  <si>
    <t xml:space="preserve">Germany        </t>
  </si>
  <si>
    <t xml:space="preserve">Germany     </t>
  </si>
  <si>
    <t xml:space="preserve">  2,34 \\</t>
  </si>
  <si>
    <t xml:space="preserve">Germany              </t>
  </si>
  <si>
    <t xml:space="preserve"> 1{,}213   </t>
  </si>
  <si>
    <t xml:space="preserve"> 0.54 \\</t>
  </si>
  <si>
    <t xml:space="preserve">Greece</t>
  </si>
  <si>
    <t xml:space="preserve">Greece         </t>
  </si>
  <si>
    <t xml:space="preserve">Greece      </t>
  </si>
  <si>
    <t xml:space="preserve"> 18,82 \\</t>
  </si>
  <si>
    <t xml:space="preserve">Greece               </t>
  </si>
  <si>
    <t xml:space="preserve"> 0.20 \\</t>
  </si>
  <si>
    <t xml:space="preserve">Hungary</t>
  </si>
  <si>
    <t xml:space="preserve">Hungary        </t>
  </si>
  <si>
    <t xml:space="preserve">  3,04 \\</t>
  </si>
  <si>
    <t xml:space="preserve">Hungary              </t>
  </si>
  <si>
    <t xml:space="preserve"> 0.50 \\</t>
  </si>
  <si>
    <t xml:space="preserve">Ireland</t>
  </si>
  <si>
    <t xml:space="preserve">Ireland        </t>
  </si>
  <si>
    <t xml:space="preserve">Ireland     </t>
  </si>
  <si>
    <t xml:space="preserve"> </t>
  </si>
  <si>
    <t xml:space="preserve">  3,90 \\</t>
  </si>
  <si>
    <t xml:space="preserve">Ireland              </t>
  </si>
  <si>
    <t xml:space="preserve"> 0.33 \\</t>
  </si>
  <si>
    <t xml:space="preserve">Italy</t>
  </si>
  <si>
    <t xml:space="preserve">Italy          </t>
  </si>
  <si>
    <t xml:space="preserve">Italy       </t>
  </si>
  <si>
    <t xml:space="preserve">  5,68 \\</t>
  </si>
  <si>
    <t xml:space="preserve">Italy                </t>
  </si>
  <si>
    <t xml:space="preserve"> 637$^{d}$ </t>
  </si>
  <si>
    <t xml:space="preserve"> 0.36 \\</t>
  </si>
  <si>
    <t xml:space="preserve">Latvia</t>
  </si>
  <si>
    <t xml:space="preserve">Latvia         </t>
  </si>
  <si>
    <t xml:space="preserve">  7,24 \\</t>
  </si>
  <si>
    <t xml:space="preserve">Latvia               </t>
  </si>
  <si>
    <t xml:space="preserve">Lithuania</t>
  </si>
  <si>
    <t xml:space="preserve">Lithuania      </t>
  </si>
  <si>
    <t xml:space="preserve">  3,21 \\</t>
  </si>
  <si>
    <t xml:space="preserve">Lithuania            </t>
  </si>
  <si>
    <t xml:space="preserve"> 0.26 \\</t>
  </si>
  <si>
    <t xml:space="preserve">Luxembourg</t>
  </si>
  <si>
    <t xml:space="preserve">Luxembourg     </t>
  </si>
  <si>
    <t xml:space="preserve">  6,42 \\</t>
  </si>
  <si>
    <t xml:space="preserve">Luxembourg           </t>
  </si>
  <si>
    <t xml:space="preserve">Luxembourg$^{a}$ </t>
  </si>
  <si>
    <t xml:space="preserve"> 0.43 \\</t>
  </si>
  <si>
    <t xml:space="preserve">Malta</t>
  </si>
  <si>
    <t xml:space="preserve">Malta          </t>
  </si>
  <si>
    <t xml:space="preserve"> 24,29 \\</t>
  </si>
  <si>
    <t xml:space="preserve">Malta                </t>
  </si>
  <si>
    <t xml:space="preserve">Malta$^{a}$    </t>
  </si>
  <si>
    <t xml:space="preserve"> 0.46 \\</t>
  </si>
  <si>
    <t xml:space="preserve">Netherlands</t>
  </si>
  <si>
    <t xml:space="preserve">Netherlands    </t>
  </si>
  <si>
    <t xml:space="preserve">Netherlands </t>
  </si>
  <si>
    <t xml:space="preserve">  3,17 \\</t>
  </si>
  <si>
    <t xml:space="preserve">Netherlands          </t>
  </si>
  <si>
    <t xml:space="preserve">Poland</t>
  </si>
  <si>
    <t xml:space="preserve">Poland         </t>
  </si>
  <si>
    <t xml:space="preserve">Poland      </t>
  </si>
  <si>
    <t xml:space="preserve">  2,43 \\</t>
  </si>
  <si>
    <t xml:space="preserve">Poland               </t>
  </si>
  <si>
    <t xml:space="preserve"> 0.49 \\</t>
  </si>
  <si>
    <t xml:space="preserve">Portugal</t>
  </si>
  <si>
    <t xml:space="preserve">Portugal       </t>
  </si>
  <si>
    <t xml:space="preserve">Portugal    </t>
  </si>
  <si>
    <t xml:space="preserve"> 12,14 \\</t>
  </si>
  <si>
    <t xml:space="preserve">Portugal             </t>
  </si>
  <si>
    <t xml:space="preserve">Romania</t>
  </si>
  <si>
    <t xml:space="preserve">Romania        </t>
  </si>
  <si>
    <t xml:space="preserve">  2,95 \\</t>
  </si>
  <si>
    <t xml:space="preserve">Romania              </t>
  </si>
  <si>
    <t xml:space="preserve"> 0.08 \\</t>
  </si>
  <si>
    <t xml:space="preserve">Slovakia</t>
  </si>
  <si>
    <t xml:space="preserve">Slovakia       </t>
  </si>
  <si>
    <t xml:space="preserve">  0,61 \\</t>
  </si>
  <si>
    <t xml:space="preserve">Slovakia             </t>
  </si>
  <si>
    <t xml:space="preserve">Slovenia</t>
  </si>
  <si>
    <t xml:space="preserve">Slovenia       </t>
  </si>
  <si>
    <t xml:space="preserve">  0,69 \\</t>
  </si>
  <si>
    <t xml:space="preserve">Slovenia             </t>
  </si>
  <si>
    <t xml:space="preserve"> 0.17 \\</t>
  </si>
  <si>
    <t xml:space="preserve">Spain</t>
  </si>
  <si>
    <t xml:space="preserve">Spain          </t>
  </si>
  <si>
    <t xml:space="preserve">Spain       </t>
  </si>
  <si>
    <t xml:space="preserve"> 10,37 \\</t>
  </si>
  <si>
    <t xml:space="preserve">Spain                </t>
  </si>
  <si>
    <t xml:space="preserve"> 373$^{c}$ </t>
  </si>
  <si>
    <t xml:space="preserve">Sweden</t>
  </si>
  <si>
    <t xml:space="preserve">Sweden         </t>
  </si>
  <si>
    <t xml:space="preserve">Sweden      </t>
  </si>
  <si>
    <t xml:space="preserve">  3,47 \\</t>
  </si>
  <si>
    <t xml:space="preserve">Sweden               </t>
  </si>
  <si>
    <t xml:space="preserve"> 0.83 \\</t>
  </si>
  <si>
    <t xml:space="preserve">European Union</t>
  </si>
  <si>
    <t xml:space="preserve">TOTAL</t>
  </si>
  <si>
    <t xml:space="preserve">Taux effectif (inclus elasticité)</t>
  </si>
  <si>
    <t xml:space="preserve">Taux effectif</t>
  </si>
  <si>
    <t xml:space="preserve">Autriche </t>
  </si>
  <si>
    <t xml:space="preserve">124 M en 2024 a 5 % pub</t>
  </si>
  <si>
    <t xml:space="preserve">Budget 2026 </t>
  </si>
  <si>
    <t xml:space="preserve">8 % de croissance du secteur</t>
  </si>
  <si>
    <t xml:space="preserve">share GNI</t>
  </si>
  <si>
    <t xml:space="preserve">Reward fund</t>
  </si>
  <si>
    <t xml:space="preserve">NOR</t>
  </si>
  <si>
    <t xml:space="preserve">GNI contrib reduction</t>
  </si>
  <si>
    <t xml:space="preserve">Ajout budg</t>
  </si>
  <si>
    <t xml:space="preserve">Remboursement </t>
  </si>
  <si>
    <t xml:space="preserve">New budg</t>
  </si>
  <si>
    <t xml:space="preserve">new GNIcontrib ratio</t>
  </si>
  <si>
    <t xml:space="preserve">NOR and reduced GNI-contributions scenario</t>
  </si>
  <si>
    <t xml:space="preserve">Status-quo scenario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</si>
</sst>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#,##0.0"/>
    <numFmt numFmtId="167" formatCode="0.00E+00"/>
    <numFmt numFmtId="168" formatCode="General"/>
    <numFmt numFmtId="169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mbria"/>
      <family val="0"/>
      <charset val="1"/>
    </font>
    <font>
      <b val="true"/>
      <sz val="11"/>
      <color theme="1"/>
      <name val="Calibri"/>
      <family val="2"/>
      <charset val="1"/>
    </font>
    <font>
      <sz val="11"/>
      <color theme="1"/>
      <name val="Cambria"/>
      <family val="0"/>
      <charset val="1"/>
    </font>
    <font>
      <sz val="15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0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650953"/>
        <bgColor rgb="FF88133D"/>
      </patternFill>
    </fill>
    <fill>
      <patternFill patternType="solid">
        <fgColor rgb="FFCF4069"/>
        <bgColor rgb="FFBB5928"/>
      </patternFill>
    </fill>
    <fill>
      <patternFill patternType="solid">
        <fgColor rgb="FFDF979A"/>
        <bgColor rgb="FFFFAB91"/>
      </patternFill>
    </fill>
    <fill>
      <patternFill patternType="solid">
        <fgColor rgb="FF88133D"/>
        <bgColor rgb="FF7E0021"/>
      </patternFill>
    </fill>
    <fill>
      <patternFill patternType="solid">
        <fgColor rgb="FF5983B0"/>
        <bgColor rgb="FF339966"/>
      </patternFill>
    </fill>
    <fill>
      <patternFill patternType="solid">
        <fgColor rgb="FF7BB2DD"/>
        <bgColor rgb="FF83CAFF"/>
      </patternFill>
    </fill>
    <fill>
      <patternFill patternType="solid">
        <fgColor rgb="FFFFBF00"/>
        <bgColor rgb="FFFFD320"/>
      </patternFill>
    </fill>
    <fill>
      <patternFill patternType="solid">
        <fgColor rgb="FFBB5928"/>
        <bgColor rgb="FFCF4069"/>
      </patternFill>
    </fill>
    <fill>
      <patternFill patternType="solid">
        <fgColor rgb="FFF2F7FF"/>
        <bgColor rgb="FFFFFFCC"/>
      </patternFill>
    </fill>
    <fill>
      <patternFill patternType="solid">
        <fgColor rgb="FFB4C7DC"/>
        <bgColor rgb="FFD1C4E9"/>
      </patternFill>
    </fill>
    <fill>
      <patternFill patternType="solid">
        <fgColor rgb="FFD9E1F2"/>
        <bgColor rgb="FFF2F7FF"/>
      </patternFill>
    </fill>
    <fill>
      <patternFill patternType="solid">
        <fgColor rgb="FFFFAB91"/>
        <bgColor rgb="FFDF979A"/>
      </patternFill>
    </fill>
    <fill>
      <patternFill patternType="solid">
        <fgColor rgb="FF1A237E"/>
        <bgColor rgb="FF004586"/>
      </patternFill>
    </fill>
    <fill>
      <patternFill patternType="solid">
        <fgColor rgb="FFD1C4E9"/>
        <bgColor rgb="FFB4C7DC"/>
      </patternFill>
    </fill>
    <fill>
      <patternFill patternType="solid">
        <fgColor rgb="FFFFCDD2"/>
        <bgColor rgb="FFD1C4E9"/>
      </patternFill>
    </fill>
    <fill>
      <patternFill patternType="solid">
        <fgColor rgb="FFFF9800"/>
        <bgColor rgb="FFFFB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1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11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4" fillId="11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1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0" fillId="11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11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1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8" fillId="1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5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7FF"/>
      <rgbColor rgb="FFFF0000"/>
      <rgbColor rgb="FF00FF00"/>
      <rgbColor rgb="FF0000FF"/>
      <rgbColor rgb="FFFFD32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4C7DC"/>
      <rgbColor rgb="FFD17486"/>
      <rgbColor rgb="FF7BB2DD"/>
      <rgbColor rgb="FFCF4069"/>
      <rgbColor rgb="FFFFFFCC"/>
      <rgbColor rgb="FFD9E1F2"/>
      <rgbColor rgb="FF650953"/>
      <rgbColor rgb="FFDF979A"/>
      <rgbColor rgb="FF0066CC"/>
      <rgbColor rgb="FFD1C4E9"/>
      <rgbColor rgb="FF000080"/>
      <rgbColor rgb="FFFF00FF"/>
      <rgbColor rgb="FFFFFF00"/>
      <rgbColor rgb="FF00FFFF"/>
      <rgbColor rgb="FF800080"/>
      <rgbColor rgb="FF88133D"/>
      <rgbColor rgb="FF008080"/>
      <rgbColor rgb="FF0000FF"/>
      <rgbColor rgb="FF00CCFF"/>
      <rgbColor rgb="FFCCFFFF"/>
      <rgbColor rgb="FFCCFFCC"/>
      <rgbColor rgb="FFFFFF99"/>
      <rgbColor rgb="FF83CAFF"/>
      <rgbColor rgb="FFFFAB91"/>
      <rgbColor rgb="FFCC99FF"/>
      <rgbColor rgb="FFFFCDD2"/>
      <rgbColor rgb="FF3366FF"/>
      <rgbColor rgb="FF33CCCC"/>
      <rgbColor rgb="FF99CC00"/>
      <rgbColor rgb="FFFFBF00"/>
      <rgbColor rgb="FFFF9800"/>
      <rgbColor rgb="FFFF420E"/>
      <rgbColor rgb="FF5983B0"/>
      <rgbColor rgb="FFB3B3B3"/>
      <rgbColor rgb="FF004586"/>
      <rgbColor rgb="FF339966"/>
      <rgbColor rgb="FF003300"/>
      <rgbColor rgb="FF333300"/>
      <rgbColor rgb="FFBB5928"/>
      <rgbColor rgb="FF993366"/>
      <rgbColor rgb="FF1A237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20700394490968"/>
          <c:y val="0.0304347826086957"/>
          <c:w val="0.693104482432464"/>
          <c:h val="0.776579163248564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Combined_2!$C$1:$C$1</c:f>
              <c:strCache>
                <c:ptCount val="1"/>
                <c:pt idx="0">
                  <c:v>DST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Combined_2!$A$8:$A$34</c:f>
              <c:strCache>
                <c:ptCount val="27"/>
                <c:pt idx="0">
                  <c:v>Austria</c:v>
                </c:pt>
                <c:pt idx="1">
                  <c:v>Belgium</c:v>
                </c:pt>
                <c:pt idx="2">
                  <c:v>Bulgaria</c:v>
                </c:pt>
                <c:pt idx="3">
                  <c:v>Croatia</c:v>
                </c:pt>
                <c:pt idx="4">
                  <c:v>Cyprus</c:v>
                </c:pt>
                <c:pt idx="5">
                  <c:v>Czechia</c:v>
                </c:pt>
                <c:pt idx="6">
                  <c:v>Denmark</c:v>
                </c:pt>
                <c:pt idx="7">
                  <c:v>Estonia</c:v>
                </c:pt>
                <c:pt idx="8">
                  <c:v>Finland</c:v>
                </c:pt>
                <c:pt idx="9">
                  <c:v>France</c:v>
                </c:pt>
                <c:pt idx="10">
                  <c:v>Germany</c:v>
                </c:pt>
                <c:pt idx="11">
                  <c:v>Greece</c:v>
                </c:pt>
                <c:pt idx="12">
                  <c:v>Hungary</c:v>
                </c:pt>
                <c:pt idx="13">
                  <c:v>Ireland</c:v>
                </c:pt>
                <c:pt idx="14">
                  <c:v>Italy</c:v>
                </c:pt>
                <c:pt idx="15">
                  <c:v>Latvia</c:v>
                </c:pt>
                <c:pt idx="16">
                  <c:v>Lithuania</c:v>
                </c:pt>
                <c:pt idx="17">
                  <c:v>Luxembourg</c:v>
                </c:pt>
                <c:pt idx="18">
                  <c:v>Malta</c:v>
                </c:pt>
                <c:pt idx="19">
                  <c:v>Netherlands</c:v>
                </c:pt>
                <c:pt idx="20">
                  <c:v>Poland</c:v>
                </c:pt>
                <c:pt idx="21">
                  <c:v>Portugal</c:v>
                </c:pt>
                <c:pt idx="22">
                  <c:v>Romania</c:v>
                </c:pt>
                <c:pt idx="23">
                  <c:v>Slovakia</c:v>
                </c:pt>
                <c:pt idx="24">
                  <c:v>Slovenia</c:v>
                </c:pt>
                <c:pt idx="25">
                  <c:v>Spain</c:v>
                </c:pt>
                <c:pt idx="26">
                  <c:v>Sweden</c:v>
                </c:pt>
              </c:strCache>
            </c:strRef>
          </c:cat>
          <c:val>
            <c:numRef>
              <c:f>Combined_2!$C$8:$C$34</c:f>
              <c:numCache>
                <c:formatCode>#,##0.00</c:formatCode>
                <c:ptCount val="27"/>
                <c:pt idx="0">
                  <c:v>0.0350512532661395</c:v>
                </c:pt>
                <c:pt idx="1">
                  <c:v>0.0396480984693072</c:v>
                </c:pt>
                <c:pt idx="2">
                  <c:v>0.0726008291778911</c:v>
                </c:pt>
                <c:pt idx="3">
                  <c:v>0.0786755148115208</c:v>
                </c:pt>
                <c:pt idx="4">
                  <c:v>0.0727603456116417</c:v>
                </c:pt>
                <c:pt idx="5">
                  <c:v>0.0782166601486116</c:v>
                </c:pt>
                <c:pt idx="6">
                  <c:v>0.0310018773359053</c:v>
                </c:pt>
                <c:pt idx="7">
                  <c:v>0.0744360658921001</c:v>
                </c:pt>
                <c:pt idx="8">
                  <c:v>0.0379785988637743</c:v>
                </c:pt>
                <c:pt idx="9">
                  <c:v>0.0421022541018626</c:v>
                </c:pt>
                <c:pt idx="10">
                  <c:v>0.0262233683997149</c:v>
                </c:pt>
                <c:pt idx="11">
                  <c:v>0.0503093193867792</c:v>
                </c:pt>
                <c:pt idx="12">
                  <c:v>0.0940076817705675</c:v>
                </c:pt>
                <c:pt idx="13">
                  <c:v>0.0299863052234907</c:v>
                </c:pt>
                <c:pt idx="14">
                  <c:v>0.0257444955291679</c:v>
                </c:pt>
                <c:pt idx="15">
                  <c:v>0.0816326530612245</c:v>
                </c:pt>
                <c:pt idx="16">
                  <c:v>0.0759034360189574</c:v>
                </c:pt>
                <c:pt idx="17">
                  <c:v>0.0198137507430157</c:v>
                </c:pt>
                <c:pt idx="18">
                  <c:v>0.0510538983298082</c:v>
                </c:pt>
                <c:pt idx="19">
                  <c:v>0.0397775325029027</c:v>
                </c:pt>
                <c:pt idx="20">
                  <c:v>0.0907081624570414</c:v>
                </c:pt>
                <c:pt idx="21">
                  <c:v>0.0646607669616519</c:v>
                </c:pt>
                <c:pt idx="22">
                  <c:v>0.0626997101880062</c:v>
                </c:pt>
                <c:pt idx="23">
                  <c:v>0.0781105469793829</c:v>
                </c:pt>
                <c:pt idx="24">
                  <c:v>0.0641137728041033</c:v>
                </c:pt>
                <c:pt idx="25">
                  <c:v>0.056628268798813</c:v>
                </c:pt>
                <c:pt idx="26">
                  <c:v>0.0343768206145128</c:v>
                </c:pt>
              </c:numCache>
            </c:numRef>
          </c:val>
        </c:ser>
        <c:ser>
          <c:idx val="1"/>
          <c:order val="1"/>
          <c:tx>
            <c:strRef>
              <c:f>Combined_2!$E$1:$E$1</c:f>
              <c:strCache>
                <c:ptCount val="1"/>
                <c:pt idx="0">
                  <c:v>Ad Tax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Combined_2!$A$8:$A$34</c:f>
              <c:strCache>
                <c:ptCount val="27"/>
                <c:pt idx="0">
                  <c:v>Austria</c:v>
                </c:pt>
                <c:pt idx="1">
                  <c:v>Belgium</c:v>
                </c:pt>
                <c:pt idx="2">
                  <c:v>Bulgaria</c:v>
                </c:pt>
                <c:pt idx="3">
                  <c:v>Croatia</c:v>
                </c:pt>
                <c:pt idx="4">
                  <c:v>Cyprus</c:v>
                </c:pt>
                <c:pt idx="5">
                  <c:v>Czechia</c:v>
                </c:pt>
                <c:pt idx="6">
                  <c:v>Denmark</c:v>
                </c:pt>
                <c:pt idx="7">
                  <c:v>Estonia</c:v>
                </c:pt>
                <c:pt idx="8">
                  <c:v>Finland</c:v>
                </c:pt>
                <c:pt idx="9">
                  <c:v>France</c:v>
                </c:pt>
                <c:pt idx="10">
                  <c:v>Germany</c:v>
                </c:pt>
                <c:pt idx="11">
                  <c:v>Greece</c:v>
                </c:pt>
                <c:pt idx="12">
                  <c:v>Hungary</c:v>
                </c:pt>
                <c:pt idx="13">
                  <c:v>Ireland</c:v>
                </c:pt>
                <c:pt idx="14">
                  <c:v>Italy</c:v>
                </c:pt>
                <c:pt idx="15">
                  <c:v>Latvia</c:v>
                </c:pt>
                <c:pt idx="16">
                  <c:v>Lithuania</c:v>
                </c:pt>
                <c:pt idx="17">
                  <c:v>Luxembourg</c:v>
                </c:pt>
                <c:pt idx="18">
                  <c:v>Malta</c:v>
                </c:pt>
                <c:pt idx="19">
                  <c:v>Netherlands</c:v>
                </c:pt>
                <c:pt idx="20">
                  <c:v>Poland</c:v>
                </c:pt>
                <c:pt idx="21">
                  <c:v>Portugal</c:v>
                </c:pt>
                <c:pt idx="22">
                  <c:v>Romania</c:v>
                </c:pt>
                <c:pt idx="23">
                  <c:v>Slovakia</c:v>
                </c:pt>
                <c:pt idx="24">
                  <c:v>Slovenia</c:v>
                </c:pt>
                <c:pt idx="25">
                  <c:v>Spain</c:v>
                </c:pt>
                <c:pt idx="26">
                  <c:v>Sweden</c:v>
                </c:pt>
              </c:strCache>
            </c:strRef>
          </c:cat>
          <c:val>
            <c:numRef>
              <c:f>Combined_2!$E$8:$E$34</c:f>
              <c:numCache>
                <c:formatCode>#,##0.00</c:formatCode>
                <c:ptCount val="27"/>
                <c:pt idx="0">
                  <c:v>0.080887507537245</c:v>
                </c:pt>
                <c:pt idx="1">
                  <c:v>0.0362947767082216</c:v>
                </c:pt>
                <c:pt idx="2">
                  <c:v>0.0343898664526853</c:v>
                </c:pt>
                <c:pt idx="3">
                  <c:v>0.0444687692412944</c:v>
                </c:pt>
                <c:pt idx="4">
                  <c:v>0.0773078672123693</c:v>
                </c:pt>
                <c:pt idx="5">
                  <c:v>0.115567312466769</c:v>
                </c:pt>
                <c:pt idx="6">
                  <c:v>0.0740600403024405</c:v>
                </c:pt>
                <c:pt idx="7">
                  <c:v>0.0679633645101783</c:v>
                </c:pt>
                <c:pt idx="8">
                  <c:v>0.0520737489575462</c:v>
                </c:pt>
                <c:pt idx="9">
                  <c:v>0.0656779628101934</c:v>
                </c:pt>
                <c:pt idx="10">
                  <c:v>0.0723958023305013</c:v>
                </c:pt>
                <c:pt idx="11">
                  <c:v>0.0298538818339129</c:v>
                </c:pt>
                <c:pt idx="12">
                  <c:v>0.0758776288576724</c:v>
                </c:pt>
                <c:pt idx="13">
                  <c:v>0.0494619467603971</c:v>
                </c:pt>
                <c:pt idx="14">
                  <c:v>0.0491185128832733</c:v>
                </c:pt>
                <c:pt idx="15">
                  <c:v>0.0604686318972033</c:v>
                </c:pt>
                <c:pt idx="16">
                  <c:v>0.0444312796208531</c:v>
                </c:pt>
                <c:pt idx="17">
                  <c:v>0.0634040023776501</c:v>
                </c:pt>
                <c:pt idx="18">
                  <c:v>0.0729341404711545</c:v>
                </c:pt>
                <c:pt idx="19">
                  <c:v>0.0778827363119896</c:v>
                </c:pt>
                <c:pt idx="20">
                  <c:v>0.0779323649278806</c:v>
                </c:pt>
                <c:pt idx="21">
                  <c:v>0.039646017699115</c:v>
                </c:pt>
                <c:pt idx="22">
                  <c:v>0.0139332689306681</c:v>
                </c:pt>
                <c:pt idx="23">
                  <c:v>0.0380275031346996</c:v>
                </c:pt>
                <c:pt idx="24">
                  <c:v>0.0271997824017408</c:v>
                </c:pt>
                <c:pt idx="25">
                  <c:v>0.0684155212562079</c:v>
                </c:pt>
                <c:pt idx="26">
                  <c:v>0.108739311522748</c:v>
                </c:pt>
              </c:numCache>
            </c:numRef>
          </c:val>
        </c:ser>
        <c:ser>
          <c:idx val="2"/>
          <c:order val="2"/>
          <c:tx>
            <c:strRef>
              <c:f>Combined_2!$G$1:$G$1</c:f>
              <c:strCache>
                <c:ptCount val="1"/>
                <c:pt idx="0">
                  <c:v>FTT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Combined_2!$A$8:$A$34</c:f>
              <c:strCache>
                <c:ptCount val="27"/>
                <c:pt idx="0">
                  <c:v>Austria</c:v>
                </c:pt>
                <c:pt idx="1">
                  <c:v>Belgium</c:v>
                </c:pt>
                <c:pt idx="2">
                  <c:v>Bulgaria</c:v>
                </c:pt>
                <c:pt idx="3">
                  <c:v>Croatia</c:v>
                </c:pt>
                <c:pt idx="4">
                  <c:v>Cyprus</c:v>
                </c:pt>
                <c:pt idx="5">
                  <c:v>Czechia</c:v>
                </c:pt>
                <c:pt idx="6">
                  <c:v>Denmark</c:v>
                </c:pt>
                <c:pt idx="7">
                  <c:v>Estonia</c:v>
                </c:pt>
                <c:pt idx="8">
                  <c:v>Finland</c:v>
                </c:pt>
                <c:pt idx="9">
                  <c:v>France</c:v>
                </c:pt>
                <c:pt idx="10">
                  <c:v>Germany</c:v>
                </c:pt>
                <c:pt idx="11">
                  <c:v>Greece</c:v>
                </c:pt>
                <c:pt idx="12">
                  <c:v>Hungary</c:v>
                </c:pt>
                <c:pt idx="13">
                  <c:v>Ireland</c:v>
                </c:pt>
                <c:pt idx="14">
                  <c:v>Italy</c:v>
                </c:pt>
                <c:pt idx="15">
                  <c:v>Latvia</c:v>
                </c:pt>
                <c:pt idx="16">
                  <c:v>Lithuania</c:v>
                </c:pt>
                <c:pt idx="17">
                  <c:v>Luxembourg</c:v>
                </c:pt>
                <c:pt idx="18">
                  <c:v>Malta</c:v>
                </c:pt>
                <c:pt idx="19">
                  <c:v>Netherlands</c:v>
                </c:pt>
                <c:pt idx="20">
                  <c:v>Poland</c:v>
                </c:pt>
                <c:pt idx="21">
                  <c:v>Portugal</c:v>
                </c:pt>
                <c:pt idx="22">
                  <c:v>Romania</c:v>
                </c:pt>
                <c:pt idx="23">
                  <c:v>Slovakia</c:v>
                </c:pt>
                <c:pt idx="24">
                  <c:v>Slovenia</c:v>
                </c:pt>
                <c:pt idx="25">
                  <c:v>Spain</c:v>
                </c:pt>
                <c:pt idx="26">
                  <c:v>Sweden</c:v>
                </c:pt>
              </c:strCache>
            </c:strRef>
          </c:cat>
          <c:val>
            <c:numRef>
              <c:f>Combined_2!$G$8:$G$34</c:f>
              <c:numCache>
                <c:formatCode>#,##0.00</c:formatCode>
                <c:ptCount val="27"/>
                <c:pt idx="0">
                  <c:v>0.0064710006029796</c:v>
                </c:pt>
                <c:pt idx="1">
                  <c:v>0.0120522329177844</c:v>
                </c:pt>
                <c:pt idx="2">
                  <c:v>0.000382109627252059</c:v>
                </c:pt>
                <c:pt idx="3">
                  <c:v>0.000513101183553397</c:v>
                </c:pt>
                <c:pt idx="4">
                  <c:v>0.00363801728058208</c:v>
                </c:pt>
                <c:pt idx="5">
                  <c:v>0.00166979386834115</c:v>
                </c:pt>
                <c:pt idx="6">
                  <c:v>0.0326667929706114</c:v>
                </c:pt>
                <c:pt idx="7">
                  <c:v>0.000323635069096087</c:v>
                </c:pt>
                <c:pt idx="8">
                  <c:v>0.0318315472951015</c:v>
                </c:pt>
                <c:pt idx="9">
                  <c:v>0.120403125199054</c:v>
                </c:pt>
                <c:pt idx="10">
                  <c:v>0.0427725125472651</c:v>
                </c:pt>
                <c:pt idx="11">
                  <c:v>0.0125496873635152</c:v>
                </c:pt>
                <c:pt idx="12">
                  <c:v>0.0039617523031882</c:v>
                </c:pt>
                <c:pt idx="13">
                  <c:v>0.0746257121747491</c:v>
                </c:pt>
                <c:pt idx="14">
                  <c:v>0.0300168689842225</c:v>
                </c:pt>
                <c:pt idx="15">
                  <c:v>0</c:v>
                </c:pt>
                <c:pt idx="16">
                  <c:v>0.000185130331753555</c:v>
                </c:pt>
                <c:pt idx="17">
                  <c:v>0</c:v>
                </c:pt>
                <c:pt idx="18">
                  <c:v>0</c:v>
                </c:pt>
                <c:pt idx="19">
                  <c:v>0.23424546918376</c:v>
                </c:pt>
                <c:pt idx="20">
                  <c:v>0.0114982177762447</c:v>
                </c:pt>
                <c:pt idx="21">
                  <c:v>0.0117522123893805</c:v>
                </c:pt>
                <c:pt idx="22">
                  <c:v>0.000882440365608977</c:v>
                </c:pt>
                <c:pt idx="23">
                  <c:v>0</c:v>
                </c:pt>
                <c:pt idx="24">
                  <c:v>0.000777136640049737</c:v>
                </c:pt>
                <c:pt idx="25">
                  <c:v>0.019832258330414</c:v>
                </c:pt>
                <c:pt idx="26">
                  <c:v>0.0443460985927215</c:v>
                </c:pt>
              </c:numCache>
            </c:numRef>
          </c:val>
        </c:ser>
        <c:ser>
          <c:idx val="3"/>
          <c:order val="3"/>
          <c:tx>
            <c:strRef>
              <c:f>Combined_2!$I$1:$I$1</c:f>
              <c:strCache>
                <c:ptCount val="1"/>
                <c:pt idx="0">
                  <c:v>Wealth Tax</c:v>
                </c:pt>
              </c:strCache>
            </c:strRef>
          </c:tx>
          <c:spPr>
            <a:solidFill>
              <a:srgbClr val="d174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Combined_2!$A$8:$A$34</c:f>
              <c:strCache>
                <c:ptCount val="27"/>
                <c:pt idx="0">
                  <c:v>Austria</c:v>
                </c:pt>
                <c:pt idx="1">
                  <c:v>Belgium</c:v>
                </c:pt>
                <c:pt idx="2">
                  <c:v>Bulgaria</c:v>
                </c:pt>
                <c:pt idx="3">
                  <c:v>Croatia</c:v>
                </c:pt>
                <c:pt idx="4">
                  <c:v>Cyprus</c:v>
                </c:pt>
                <c:pt idx="5">
                  <c:v>Czechia</c:v>
                </c:pt>
                <c:pt idx="6">
                  <c:v>Denmark</c:v>
                </c:pt>
                <c:pt idx="7">
                  <c:v>Estonia</c:v>
                </c:pt>
                <c:pt idx="8">
                  <c:v>Finland</c:v>
                </c:pt>
                <c:pt idx="9">
                  <c:v>France</c:v>
                </c:pt>
                <c:pt idx="10">
                  <c:v>Germany</c:v>
                </c:pt>
                <c:pt idx="11">
                  <c:v>Greece</c:v>
                </c:pt>
                <c:pt idx="12">
                  <c:v>Hungary</c:v>
                </c:pt>
                <c:pt idx="13">
                  <c:v>Ireland</c:v>
                </c:pt>
                <c:pt idx="14">
                  <c:v>Italy</c:v>
                </c:pt>
                <c:pt idx="15">
                  <c:v>Latvia</c:v>
                </c:pt>
                <c:pt idx="16">
                  <c:v>Lithuania</c:v>
                </c:pt>
                <c:pt idx="17">
                  <c:v>Luxembourg</c:v>
                </c:pt>
                <c:pt idx="18">
                  <c:v>Malta</c:v>
                </c:pt>
                <c:pt idx="19">
                  <c:v>Netherlands</c:v>
                </c:pt>
                <c:pt idx="20">
                  <c:v>Poland</c:v>
                </c:pt>
                <c:pt idx="21">
                  <c:v>Portugal</c:v>
                </c:pt>
                <c:pt idx="22">
                  <c:v>Romania</c:v>
                </c:pt>
                <c:pt idx="23">
                  <c:v>Slovakia</c:v>
                </c:pt>
                <c:pt idx="24">
                  <c:v>Slovenia</c:v>
                </c:pt>
                <c:pt idx="25">
                  <c:v>Spain</c:v>
                </c:pt>
                <c:pt idx="26">
                  <c:v>Sweden</c:v>
                </c:pt>
              </c:strCache>
            </c:strRef>
          </c:cat>
          <c:val>
            <c:numRef>
              <c:f>Combined_2!$I$8:$I$34</c:f>
              <c:numCache>
                <c:formatCode>#,##0.00</c:formatCode>
                <c:ptCount val="27"/>
                <c:pt idx="0">
                  <c:v>0.225504566467471</c:v>
                </c:pt>
                <c:pt idx="1">
                  <c:v>0.142417547735522</c:v>
                </c:pt>
                <c:pt idx="2">
                  <c:v>0.0764219254504117</c:v>
                </c:pt>
                <c:pt idx="3">
                  <c:v>0.0615721420264076</c:v>
                </c:pt>
                <c:pt idx="4">
                  <c:v>0.20918599363347</c:v>
                </c:pt>
                <c:pt idx="5">
                  <c:v>0.152917964784926</c:v>
                </c:pt>
                <c:pt idx="6">
                  <c:v>0.153000005741088</c:v>
                </c:pt>
                <c:pt idx="7">
                  <c:v>0.0938541700378653</c:v>
                </c:pt>
                <c:pt idx="8">
                  <c:v>0.0595128559514814</c:v>
                </c:pt>
                <c:pt idx="9">
                  <c:v>0.259060917766996</c:v>
                </c:pt>
                <c:pt idx="10">
                  <c:v>0.223729842461371</c:v>
                </c:pt>
                <c:pt idx="11">
                  <c:v>0.0652362603037356</c:v>
                </c:pt>
                <c:pt idx="12">
                  <c:v>0.139668555773415</c:v>
                </c:pt>
                <c:pt idx="13">
                  <c:v>0.102324402360571</c:v>
                </c:pt>
                <c:pt idx="14">
                  <c:v>0.144323531681716</c:v>
                </c:pt>
                <c:pt idx="15">
                  <c:v>0.0604686318972033</c:v>
                </c:pt>
                <c:pt idx="16">
                  <c:v>0.0573904028436019</c:v>
                </c:pt>
                <c:pt idx="17">
                  <c:v>0.412126015454726</c:v>
                </c:pt>
                <c:pt idx="18">
                  <c:v>0.0656407264240391</c:v>
                </c:pt>
                <c:pt idx="19">
                  <c:v>0.109059721246697</c:v>
                </c:pt>
                <c:pt idx="20">
                  <c:v>0.102206380233286</c:v>
                </c:pt>
                <c:pt idx="21">
                  <c:v>0.155752212389381</c:v>
                </c:pt>
                <c:pt idx="22">
                  <c:v>0.0561975180203611</c:v>
                </c:pt>
                <c:pt idx="23">
                  <c:v>0.0195276367448457</c:v>
                </c:pt>
                <c:pt idx="24">
                  <c:v>0.145713120009326</c:v>
                </c:pt>
                <c:pt idx="25">
                  <c:v>0.1773033568941</c:v>
                </c:pt>
                <c:pt idx="26">
                  <c:v>0.128822611987016</c:v>
                </c:pt>
              </c:numCache>
            </c:numRef>
          </c:val>
        </c:ser>
        <c:ser>
          <c:idx val="4"/>
          <c:order val="4"/>
          <c:tx>
            <c:strRef>
              <c:f>Combined_2!$K$1:$K$1</c:f>
              <c:strCache>
                <c:ptCount val="1"/>
                <c:pt idx="0">
                  <c:v>Aviation carbon tax</c:v>
                </c:pt>
              </c:strCache>
            </c:strRef>
          </c:tx>
          <c:spPr>
            <a:solidFill>
              <a:srgbClr val="7e002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Combined_2!$A$8:$A$34</c:f>
              <c:strCache>
                <c:ptCount val="27"/>
                <c:pt idx="0">
                  <c:v>Austria</c:v>
                </c:pt>
                <c:pt idx="1">
                  <c:v>Belgium</c:v>
                </c:pt>
                <c:pt idx="2">
                  <c:v>Bulgaria</c:v>
                </c:pt>
                <c:pt idx="3">
                  <c:v>Croatia</c:v>
                </c:pt>
                <c:pt idx="4">
                  <c:v>Cyprus</c:v>
                </c:pt>
                <c:pt idx="5">
                  <c:v>Czechia</c:v>
                </c:pt>
                <c:pt idx="6">
                  <c:v>Denmark</c:v>
                </c:pt>
                <c:pt idx="7">
                  <c:v>Estonia</c:v>
                </c:pt>
                <c:pt idx="8">
                  <c:v>Finland</c:v>
                </c:pt>
                <c:pt idx="9">
                  <c:v>France</c:v>
                </c:pt>
                <c:pt idx="10">
                  <c:v>Germany</c:v>
                </c:pt>
                <c:pt idx="11">
                  <c:v>Greece</c:v>
                </c:pt>
                <c:pt idx="12">
                  <c:v>Hungary</c:v>
                </c:pt>
                <c:pt idx="13">
                  <c:v>Ireland</c:v>
                </c:pt>
                <c:pt idx="14">
                  <c:v>Italy</c:v>
                </c:pt>
                <c:pt idx="15">
                  <c:v>Latvia</c:v>
                </c:pt>
                <c:pt idx="16">
                  <c:v>Lithuania</c:v>
                </c:pt>
                <c:pt idx="17">
                  <c:v>Luxembourg</c:v>
                </c:pt>
                <c:pt idx="18">
                  <c:v>Malta</c:v>
                </c:pt>
                <c:pt idx="19">
                  <c:v>Netherlands</c:v>
                </c:pt>
                <c:pt idx="20">
                  <c:v>Poland</c:v>
                </c:pt>
                <c:pt idx="21">
                  <c:v>Portugal</c:v>
                </c:pt>
                <c:pt idx="22">
                  <c:v>Romania</c:v>
                </c:pt>
                <c:pt idx="23">
                  <c:v>Slovakia</c:v>
                </c:pt>
                <c:pt idx="24">
                  <c:v>Slovenia</c:v>
                </c:pt>
                <c:pt idx="25">
                  <c:v>Spain</c:v>
                </c:pt>
                <c:pt idx="26">
                  <c:v>Sweden</c:v>
                </c:pt>
              </c:strCache>
            </c:strRef>
          </c:cat>
          <c:val>
            <c:numRef>
              <c:f>Combined_2!$K$8:$K$34</c:f>
              <c:numCache>
                <c:formatCode>#,##0.00</c:formatCode>
                <c:ptCount val="27"/>
                <c:pt idx="0">
                  <c:v>0.0454195610504591</c:v>
                </c:pt>
                <c:pt idx="1">
                  <c:v>0.0368865393719426</c:v>
                </c:pt>
                <c:pt idx="2">
                  <c:v>0.0876941594543474</c:v>
                </c:pt>
                <c:pt idx="3">
                  <c:v>0.110487788191831</c:v>
                </c:pt>
                <c:pt idx="4">
                  <c:v>0.224192814915871</c:v>
                </c:pt>
                <c:pt idx="5">
                  <c:v>0.0328685740399784</c:v>
                </c:pt>
                <c:pt idx="6">
                  <c:v>0.0551431540391427</c:v>
                </c:pt>
                <c:pt idx="7">
                  <c:v>0.0495161655717014</c:v>
                </c:pt>
                <c:pt idx="8">
                  <c:v>0.0479235103188245</c:v>
                </c:pt>
                <c:pt idx="9">
                  <c:v>0.0355228059055014</c:v>
                </c:pt>
                <c:pt idx="10">
                  <c:v>0.0275318554936884</c:v>
                </c:pt>
                <c:pt idx="11">
                  <c:v>0.238720484738585</c:v>
                </c:pt>
                <c:pt idx="12">
                  <c:v>0.0422363084526336</c:v>
                </c:pt>
                <c:pt idx="13">
                  <c:v>0.0494001193269466</c:v>
                </c:pt>
                <c:pt idx="14">
                  <c:v>0.0666324876790262</c:v>
                </c:pt>
                <c:pt idx="15">
                  <c:v>0.0925170068027211</c:v>
                </c:pt>
                <c:pt idx="16">
                  <c:v>0.044061018957346</c:v>
                </c:pt>
                <c:pt idx="17">
                  <c:v>0.0707350901525659</c:v>
                </c:pt>
                <c:pt idx="18">
                  <c:v>0.334767704762599</c:v>
                </c:pt>
                <c:pt idx="19">
                  <c:v>0.0402075598813125</c:v>
                </c:pt>
                <c:pt idx="20">
                  <c:v>0.0369220548592746</c:v>
                </c:pt>
                <c:pt idx="21">
                  <c:v>0.15646017699115</c:v>
                </c:pt>
                <c:pt idx="22">
                  <c:v>0.0489522181764138</c:v>
                </c:pt>
                <c:pt idx="23">
                  <c:v>0.00873604801743099</c:v>
                </c:pt>
                <c:pt idx="24">
                  <c:v>0.00990849216063414</c:v>
                </c:pt>
                <c:pt idx="25">
                  <c:v>0.130739588270447</c:v>
                </c:pt>
                <c:pt idx="26">
                  <c:v>0.035679521185168</c:v>
                </c:pt>
              </c:numCache>
            </c:numRef>
          </c:val>
        </c:ser>
        <c:ser>
          <c:idx val="5"/>
          <c:order val="5"/>
          <c:tx>
            <c:strRef>
              <c:f>Combined_2!$N$1:$N$1</c:f>
              <c:strCache>
                <c:ptCount val="1"/>
                <c:pt idx="0">
                  <c:v>Luxury VAT</c:v>
                </c:pt>
              </c:strCache>
            </c:strRef>
          </c:tx>
          <c:spPr>
            <a:solidFill>
              <a:srgbClr val="83caf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Combined_2!$A$8:$A$34</c:f>
              <c:strCache>
                <c:ptCount val="27"/>
                <c:pt idx="0">
                  <c:v>Austria</c:v>
                </c:pt>
                <c:pt idx="1">
                  <c:v>Belgium</c:v>
                </c:pt>
                <c:pt idx="2">
                  <c:v>Bulgaria</c:v>
                </c:pt>
                <c:pt idx="3">
                  <c:v>Croatia</c:v>
                </c:pt>
                <c:pt idx="4">
                  <c:v>Cyprus</c:v>
                </c:pt>
                <c:pt idx="5">
                  <c:v>Czechia</c:v>
                </c:pt>
                <c:pt idx="6">
                  <c:v>Denmark</c:v>
                </c:pt>
                <c:pt idx="7">
                  <c:v>Estonia</c:v>
                </c:pt>
                <c:pt idx="8">
                  <c:v>Finland</c:v>
                </c:pt>
                <c:pt idx="9">
                  <c:v>France</c:v>
                </c:pt>
                <c:pt idx="10">
                  <c:v>Germany</c:v>
                </c:pt>
                <c:pt idx="11">
                  <c:v>Greece</c:v>
                </c:pt>
                <c:pt idx="12">
                  <c:v>Hungary</c:v>
                </c:pt>
                <c:pt idx="13">
                  <c:v>Ireland</c:v>
                </c:pt>
                <c:pt idx="14">
                  <c:v>Italy</c:v>
                </c:pt>
                <c:pt idx="15">
                  <c:v>Latvia</c:v>
                </c:pt>
                <c:pt idx="16">
                  <c:v>Lithuania</c:v>
                </c:pt>
                <c:pt idx="17">
                  <c:v>Luxembourg</c:v>
                </c:pt>
                <c:pt idx="18">
                  <c:v>Malta</c:v>
                </c:pt>
                <c:pt idx="19">
                  <c:v>Netherlands</c:v>
                </c:pt>
                <c:pt idx="20">
                  <c:v>Poland</c:v>
                </c:pt>
                <c:pt idx="21">
                  <c:v>Portugal</c:v>
                </c:pt>
                <c:pt idx="22">
                  <c:v>Romania</c:v>
                </c:pt>
                <c:pt idx="23">
                  <c:v>Slovakia</c:v>
                </c:pt>
                <c:pt idx="24">
                  <c:v>Slovenia</c:v>
                </c:pt>
                <c:pt idx="25">
                  <c:v>Spain</c:v>
                </c:pt>
                <c:pt idx="26">
                  <c:v>Sweden</c:v>
                </c:pt>
              </c:strCache>
            </c:strRef>
          </c:cat>
          <c:val>
            <c:numRef>
              <c:f>Combined_2!$N$8:$N$34</c:f>
              <c:numCache>
                <c:formatCode>#,##0.00</c:formatCode>
                <c:ptCount val="27"/>
                <c:pt idx="0">
                  <c:v>0.33002103075196</c:v>
                </c:pt>
                <c:pt idx="1">
                  <c:v>0.262900426069118</c:v>
                </c:pt>
                <c:pt idx="2">
                  <c:v>0.41573527445024</c:v>
                </c:pt>
                <c:pt idx="3">
                  <c:v>0.534993500718342</c:v>
                </c:pt>
                <c:pt idx="4">
                  <c:v>0.927694406548431</c:v>
                </c:pt>
                <c:pt idx="5">
                  <c:v>0.274900801061637</c:v>
                </c:pt>
                <c:pt idx="6">
                  <c:v>0.163965484576566</c:v>
                </c:pt>
                <c:pt idx="7">
                  <c:v>0.220071846985339</c:v>
                </c:pt>
                <c:pt idx="8">
                  <c:v>0.154420199916212</c:v>
                </c:pt>
                <c:pt idx="9">
                  <c:v>0.327496500541426</c:v>
                </c:pt>
                <c:pt idx="10">
                  <c:v>0.210409014832559</c:v>
                </c:pt>
                <c:pt idx="11">
                  <c:v>0.473681591764751</c:v>
                </c:pt>
                <c:pt idx="12">
                  <c:v>0.228304370014235</c:v>
                </c:pt>
                <c:pt idx="13">
                  <c:v>0.159762088036082</c:v>
                </c:pt>
                <c:pt idx="14">
                  <c:v>0.423598937143739</c:v>
                </c:pt>
                <c:pt idx="15">
                  <c:v>0.205593348450491</c:v>
                </c:pt>
                <c:pt idx="16">
                  <c:v>0.201421800947867</c:v>
                </c:pt>
                <c:pt idx="17">
                  <c:v>0.485040618189023</c:v>
                </c:pt>
                <c:pt idx="18">
                  <c:v>0.892713879366932</c:v>
                </c:pt>
                <c:pt idx="19">
                  <c:v>0.178700266139166</c:v>
                </c:pt>
                <c:pt idx="20">
                  <c:v>0.198572395881813</c:v>
                </c:pt>
                <c:pt idx="21">
                  <c:v>0.410808259587021</c:v>
                </c:pt>
                <c:pt idx="22">
                  <c:v>0.202125287954225</c:v>
                </c:pt>
                <c:pt idx="23">
                  <c:v>0.181709798762565</c:v>
                </c:pt>
                <c:pt idx="24">
                  <c:v>0.290649103378602</c:v>
                </c:pt>
                <c:pt idx="25">
                  <c:v>0.346396851237455</c:v>
                </c:pt>
                <c:pt idx="26">
                  <c:v>0.17470662097565</c:v>
                </c:pt>
              </c:numCache>
            </c:numRef>
          </c:val>
        </c:ser>
        <c:gapWidth val="100"/>
        <c:overlap val="100"/>
        <c:axId val="4257055"/>
        <c:axId val="82875935"/>
      </c:barChart>
      <c:catAx>
        <c:axId val="425705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82875935"/>
        <c:crosses val="autoZero"/>
        <c:auto val="1"/>
        <c:lblAlgn val="ctr"/>
        <c:lblOffset val="100"/>
        <c:noMultiLvlLbl val="0"/>
      </c:catAx>
      <c:valAx>
        <c:axId val="8287593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4257055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344880</xdr:colOff>
      <xdr:row>41</xdr:row>
      <xdr:rowOff>4320</xdr:rowOff>
    </xdr:from>
    <xdr:to>
      <xdr:col>14</xdr:col>
      <xdr:colOff>352080</xdr:colOff>
      <xdr:row>90</xdr:row>
      <xdr:rowOff>86400</xdr:rowOff>
    </xdr:to>
    <xdr:graphicFrame>
      <xdr:nvGraphicFramePr>
        <xdr:cNvPr id="0" name=""/>
        <xdr:cNvGraphicFramePr/>
      </xdr:nvGraphicFramePr>
      <xdr:xfrm>
        <a:off x="344880" y="8228880"/>
        <a:ext cx="15604560" cy="877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55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pane xSplit="1" ySplit="4" topLeftCell="B12" activePane="bottomRight" state="frozen"/>
      <selection pane="topLeft" activeCell="A1" activeCellId="0" sqref="A1"/>
      <selection pane="topRight" activeCell="B1" activeCellId="0" sqref="B1"/>
      <selection pane="bottomLeft" activeCell="A12" activeCellId="0" sqref="A12"/>
      <selection pane="bottomRight" activeCell="C38" activeCellId="0" sqref="C38"/>
    </sheetView>
  </sheetViews>
  <sheetFormatPr defaultColWidth="8.59765625" defaultRowHeight="13.8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4.52"/>
    <col collapsed="false" customWidth="true" hidden="false" outlineLevel="0" max="3" min="3" style="1" width="11.87"/>
    <col collapsed="false" customWidth="true" hidden="false" outlineLevel="0" max="4" min="4" style="1" width="14.13"/>
    <col collapsed="false" customWidth="true" hidden="false" outlineLevel="0" max="5" min="5" style="1" width="12.82"/>
    <col collapsed="false" customWidth="true" hidden="false" outlineLevel="0" max="6" min="6" style="1" width="11.5"/>
    <col collapsed="false" customWidth="true" hidden="false" outlineLevel="0" max="7" min="7" style="1" width="14.33"/>
    <col collapsed="false" customWidth="true" hidden="false" outlineLevel="0" max="8" min="8" style="1" width="14.52"/>
    <col collapsed="false" customWidth="true" hidden="false" outlineLevel="0" max="9" min="9" style="1" width="15.07"/>
    <col collapsed="false" customWidth="true" hidden="false" outlineLevel="0" max="10" min="10" style="1" width="14.05"/>
    <col collapsed="false" customWidth="true" hidden="false" outlineLevel="0" max="11" min="11" style="2" width="11.93"/>
    <col collapsed="false" customWidth="true" hidden="false" outlineLevel="0" max="12" min="12" style="1" width="14.33"/>
    <col collapsed="false" customWidth="true" hidden="false" outlineLevel="0" max="13" min="13" style="1" width="10.13"/>
    <col collapsed="false" customWidth="true" hidden="false" outlineLevel="0" max="14" min="14" style="2" width="13.76"/>
    <col collapsed="false" customWidth="true" hidden="false" outlineLevel="0" max="15" min="15" style="1" width="11.27"/>
    <col collapsed="false" customWidth="true" hidden="false" outlineLevel="0" max="16" min="16" style="1" width="18.88"/>
    <col collapsed="false" customWidth="true" hidden="false" outlineLevel="0" max="18" min="18" style="1" width="14.37"/>
    <col collapsed="false" customWidth="true" hidden="false" outlineLevel="0" max="19" min="19" style="1" width="17.15"/>
    <col collapsed="false" customWidth="true" hidden="false" outlineLevel="0" max="21" min="20" style="1" width="14.58"/>
    <col collapsed="false" customWidth="true" hidden="false" outlineLevel="0" max="22" min="22" style="1" width="14.7"/>
    <col collapsed="false" customWidth="true" hidden="false" outlineLevel="0" max="23" min="23" style="1" width="11.76"/>
    <col collapsed="false" customWidth="true" hidden="false" outlineLevel="0" max="34" min="34" style="1" width="11.79"/>
    <col collapsed="false" customWidth="true" hidden="false" outlineLevel="0" max="64" min="64" style="1" width="12.25"/>
    <col collapsed="false" customWidth="true" hidden="false" outlineLevel="0" max="16384" min="16342" style="1" width="10.16"/>
  </cols>
  <sheetData>
    <row r="1" s="11" customFormat="true" ht="19.5" hidden="false" customHeight="true" outlineLevel="0" collapsed="false">
      <c r="A1" s="3" t="s">
        <v>0</v>
      </c>
      <c r="B1" s="4"/>
      <c r="C1" s="4" t="s">
        <v>1</v>
      </c>
      <c r="D1" s="5"/>
      <c r="E1" s="5" t="s">
        <v>2</v>
      </c>
      <c r="F1" s="4"/>
      <c r="G1" s="4" t="s">
        <v>3</v>
      </c>
      <c r="H1" s="6"/>
      <c r="I1" s="6" t="s">
        <v>4</v>
      </c>
      <c r="J1" s="7" t="s">
        <v>5</v>
      </c>
      <c r="K1" s="7" t="s">
        <v>5</v>
      </c>
      <c r="L1" s="7"/>
      <c r="M1" s="8"/>
      <c r="N1" s="9" t="s">
        <v>6</v>
      </c>
      <c r="O1" s="8"/>
      <c r="P1" s="7" t="s">
        <v>7</v>
      </c>
      <c r="Q1" s="7"/>
      <c r="R1" s="10"/>
      <c r="S1" s="10"/>
      <c r="T1" s="10"/>
      <c r="AB1" s="11" t="s">
        <v>8</v>
      </c>
      <c r="AC1" s="11" t="s">
        <v>9</v>
      </c>
      <c r="XEX1" s="1"/>
      <c r="XEY1" s="1"/>
      <c r="XEZ1" s="1"/>
      <c r="XFA1" s="1"/>
      <c r="XFB1" s="1"/>
      <c r="XFC1" s="1"/>
      <c r="XFD1" s="1"/>
    </row>
    <row r="2" s="13" customFormat="true" ht="30" hidden="false" customHeight="true" outlineLevel="0" collapsed="false">
      <c r="A2" s="3"/>
      <c r="B2" s="12" t="s">
        <v>10</v>
      </c>
      <c r="C2" s="12" t="s">
        <v>10</v>
      </c>
      <c r="D2" s="12" t="s">
        <v>10</v>
      </c>
      <c r="E2" s="12" t="s">
        <v>10</v>
      </c>
      <c r="F2" s="12" t="s">
        <v>10</v>
      </c>
      <c r="G2" s="12" t="s">
        <v>10</v>
      </c>
      <c r="H2" s="12" t="s">
        <v>10</v>
      </c>
      <c r="I2" s="12" t="s">
        <v>10</v>
      </c>
      <c r="J2" s="12" t="s">
        <v>10</v>
      </c>
      <c r="K2" s="12" t="s">
        <v>10</v>
      </c>
      <c r="L2" s="13" t="s">
        <v>11</v>
      </c>
      <c r="M2" s="12" t="s">
        <v>10</v>
      </c>
      <c r="N2" s="12" t="s">
        <v>10</v>
      </c>
      <c r="O2" s="13" t="s">
        <v>11</v>
      </c>
      <c r="Q2" s="13" t="s">
        <v>12</v>
      </c>
      <c r="R2" s="14"/>
      <c r="S2" s="14"/>
      <c r="T2" s="14" t="s">
        <v>13</v>
      </c>
      <c r="U2" s="13" t="s">
        <v>14</v>
      </c>
      <c r="Y2" s="13" t="s">
        <v>15</v>
      </c>
      <c r="AB2" s="13" t="s">
        <v>16</v>
      </c>
      <c r="AC2" s="13" t="s">
        <v>17</v>
      </c>
      <c r="XEX2" s="1"/>
      <c r="XEY2" s="1"/>
      <c r="XEZ2" s="1"/>
      <c r="XFA2" s="1"/>
      <c r="XFB2" s="1"/>
      <c r="XFC2" s="1"/>
      <c r="XFD2" s="1"/>
    </row>
    <row r="3" s="13" customFormat="true" ht="19.5" hidden="false" customHeight="true" outlineLevel="0" collapsed="false">
      <c r="A3" s="3"/>
      <c r="B3" s="12" t="s">
        <v>18</v>
      </c>
      <c r="C3" s="12" t="s">
        <v>19</v>
      </c>
      <c r="D3" s="12" t="s">
        <v>18</v>
      </c>
      <c r="E3" s="12" t="s">
        <v>19</v>
      </c>
      <c r="F3" s="12" t="s">
        <v>18</v>
      </c>
      <c r="G3" s="12" t="s">
        <v>19</v>
      </c>
      <c r="H3" s="12" t="s">
        <v>18</v>
      </c>
      <c r="I3" s="12" t="s">
        <v>19</v>
      </c>
      <c r="J3" s="12" t="s">
        <v>18</v>
      </c>
      <c r="K3" s="12" t="s">
        <v>19</v>
      </c>
      <c r="M3" s="12" t="s">
        <v>18</v>
      </c>
      <c r="N3" s="12" t="s">
        <v>19</v>
      </c>
      <c r="Q3" s="13" t="s">
        <v>20</v>
      </c>
      <c r="R3" s="14" t="s">
        <v>21</v>
      </c>
      <c r="S3" s="14"/>
      <c r="T3" s="14"/>
      <c r="U3" s="15"/>
      <c r="V3" s="15"/>
      <c r="W3" s="13" t="s">
        <v>22</v>
      </c>
      <c r="Y3" s="13" t="s">
        <v>23</v>
      </c>
      <c r="AC3" s="13" t="s">
        <v>24</v>
      </c>
      <c r="XEX3" s="1"/>
      <c r="XEY3" s="1"/>
      <c r="XEZ3" s="1"/>
      <c r="XFA3" s="1"/>
      <c r="XFB3" s="1"/>
      <c r="XFC3" s="1"/>
      <c r="XFD3" s="1"/>
    </row>
    <row r="4" s="19" customFormat="true" ht="18" hidden="false" customHeight="true" outlineLevel="0" collapsed="false">
      <c r="A4" s="16" t="s">
        <v>25</v>
      </c>
      <c r="B4" s="17" t="s">
        <v>26</v>
      </c>
      <c r="C4" s="17"/>
      <c r="D4" s="17" t="s">
        <v>27</v>
      </c>
      <c r="E4" s="17"/>
      <c r="F4" s="17" t="s">
        <v>28</v>
      </c>
      <c r="G4" s="17"/>
      <c r="H4" s="17" t="s">
        <v>29</v>
      </c>
      <c r="I4" s="17"/>
      <c r="J4" s="17" t="s">
        <v>5</v>
      </c>
      <c r="K4" s="18"/>
      <c r="L4" s="17"/>
      <c r="M4" s="17" t="s">
        <v>6</v>
      </c>
      <c r="N4" s="18"/>
      <c r="O4" s="17"/>
      <c r="R4" s="20"/>
      <c r="S4" s="20"/>
      <c r="T4" s="20"/>
      <c r="AC4" s="17"/>
      <c r="XDN4" s="17"/>
      <c r="XDO4" s="17"/>
      <c r="XDP4" s="17"/>
      <c r="XDQ4" s="17"/>
      <c r="XDR4" s="17"/>
      <c r="XDS4" s="17"/>
      <c r="XDT4" s="17"/>
      <c r="XDU4" s="17"/>
      <c r="XDV4" s="17"/>
      <c r="XDW4" s="17"/>
      <c r="XDX4" s="17"/>
      <c r="XDY4" s="17"/>
      <c r="XDZ4" s="17"/>
      <c r="XEA4" s="17"/>
      <c r="XEB4" s="17"/>
      <c r="XEC4" s="17"/>
      <c r="XED4" s="17"/>
      <c r="XEE4" s="17"/>
      <c r="XEF4" s="17"/>
      <c r="XEG4" s="17"/>
      <c r="XEH4" s="17"/>
      <c r="XEI4" s="17"/>
      <c r="XEJ4" s="17"/>
      <c r="XEK4" s="17"/>
      <c r="XEL4" s="17"/>
      <c r="XEM4" s="17"/>
      <c r="XEN4" s="17"/>
      <c r="XEO4" s="17"/>
      <c r="XEP4" s="17"/>
      <c r="XEQ4" s="17"/>
      <c r="XER4" s="17"/>
      <c r="XES4" s="17"/>
      <c r="XET4" s="17"/>
      <c r="XEU4" s="17"/>
      <c r="XEV4" s="17"/>
      <c r="XEW4" s="17"/>
      <c r="XEX4" s="1"/>
      <c r="XEY4" s="1"/>
      <c r="XEZ4" s="1"/>
      <c r="XFA4" s="1"/>
      <c r="XFB4" s="1"/>
      <c r="XFC4" s="1"/>
      <c r="XFD4" s="1"/>
    </row>
    <row r="5" s="19" customFormat="true" ht="18" hidden="false" customHeight="true" outlineLevel="0" collapsed="false">
      <c r="A5" s="16" t="s">
        <v>30</v>
      </c>
      <c r="B5" s="17"/>
      <c r="C5" s="17" t="s">
        <v>26</v>
      </c>
      <c r="D5" s="17"/>
      <c r="E5" s="17" t="s">
        <v>27</v>
      </c>
      <c r="F5" s="17"/>
      <c r="G5" s="17" t="s">
        <v>28</v>
      </c>
      <c r="H5" s="17"/>
      <c r="I5" s="17" t="s">
        <v>29</v>
      </c>
      <c r="J5" s="17"/>
      <c r="K5" s="17" t="s">
        <v>5</v>
      </c>
      <c r="L5" s="17"/>
      <c r="M5" s="17"/>
      <c r="N5" s="17" t="s">
        <v>6</v>
      </c>
      <c r="O5" s="17"/>
      <c r="R5" s="20"/>
      <c r="S5" s="20"/>
      <c r="T5" s="20"/>
      <c r="AC5" s="17"/>
      <c r="XDN5" s="17"/>
      <c r="XDO5" s="17"/>
      <c r="XDP5" s="17"/>
      <c r="XDQ5" s="17"/>
      <c r="XDR5" s="17"/>
      <c r="XDS5" s="17"/>
      <c r="XDT5" s="17"/>
      <c r="XDU5" s="17"/>
      <c r="XDV5" s="17"/>
      <c r="XDW5" s="17"/>
      <c r="XDX5" s="17"/>
      <c r="XDY5" s="17"/>
      <c r="XDZ5" s="17"/>
      <c r="XEA5" s="17"/>
      <c r="XEB5" s="17"/>
      <c r="XEC5" s="17"/>
      <c r="XED5" s="17"/>
      <c r="XEE5" s="17"/>
      <c r="XEF5" s="17"/>
      <c r="XEG5" s="17"/>
      <c r="XEH5" s="17"/>
      <c r="XEI5" s="17"/>
      <c r="XEJ5" s="17"/>
      <c r="XEK5" s="17"/>
      <c r="XEL5" s="17"/>
      <c r="XEM5" s="17"/>
      <c r="XEN5" s="17"/>
      <c r="XEO5" s="17"/>
      <c r="XEP5" s="17"/>
      <c r="XEQ5" s="17"/>
      <c r="XER5" s="17"/>
      <c r="XES5" s="17"/>
      <c r="XET5" s="17"/>
      <c r="XEU5" s="17"/>
      <c r="XEV5" s="17"/>
      <c r="XEW5" s="17"/>
      <c r="XEX5" s="1"/>
      <c r="XEY5" s="1"/>
      <c r="XEZ5" s="1"/>
      <c r="XFA5" s="1"/>
      <c r="XFB5" s="1"/>
      <c r="XFC5" s="1"/>
      <c r="XFD5" s="1"/>
    </row>
    <row r="6" s="19" customFormat="true" ht="18" hidden="false" customHeight="true" outlineLevel="0" collapsed="false">
      <c r="A6" s="16" t="s">
        <v>31</v>
      </c>
      <c r="B6" s="17"/>
      <c r="C6" s="17"/>
      <c r="D6" s="17"/>
      <c r="E6" s="17"/>
      <c r="F6" s="17"/>
      <c r="G6" s="17"/>
      <c r="H6" s="17"/>
      <c r="I6" s="17"/>
      <c r="J6" s="17"/>
      <c r="K6" s="18"/>
      <c r="L6" s="17"/>
      <c r="M6" s="17"/>
      <c r="N6" s="18"/>
      <c r="O6" s="17"/>
      <c r="R6" s="20"/>
      <c r="S6" s="20"/>
      <c r="T6" s="20"/>
      <c r="U6" s="19" t="s">
        <v>32</v>
      </c>
      <c r="Y6" s="19" t="s">
        <v>33</v>
      </c>
      <c r="AC6" s="17"/>
      <c r="XDN6" s="17"/>
      <c r="XDO6" s="17"/>
      <c r="XDP6" s="17"/>
      <c r="XDQ6" s="17"/>
      <c r="XDR6" s="17"/>
      <c r="XDS6" s="17"/>
      <c r="XDT6" s="17"/>
      <c r="XDU6" s="17"/>
      <c r="XDV6" s="17"/>
      <c r="XDW6" s="17"/>
      <c r="XDX6" s="17"/>
      <c r="XDY6" s="17"/>
      <c r="XDZ6" s="17"/>
      <c r="XEA6" s="17"/>
      <c r="XEB6" s="17"/>
      <c r="XEC6" s="17"/>
      <c r="XED6" s="17"/>
      <c r="XEE6" s="17"/>
      <c r="XEF6" s="17"/>
      <c r="XEG6" s="17"/>
      <c r="XEH6" s="17"/>
      <c r="XEI6" s="17"/>
      <c r="XEJ6" s="17"/>
      <c r="XEK6" s="17"/>
      <c r="XEL6" s="17"/>
      <c r="XEM6" s="17"/>
      <c r="XEN6" s="17"/>
      <c r="XEO6" s="17"/>
      <c r="XEP6" s="17"/>
      <c r="XEQ6" s="17"/>
      <c r="XER6" s="17"/>
      <c r="XES6" s="17"/>
      <c r="XET6" s="17"/>
      <c r="XEU6" s="17"/>
      <c r="XEV6" s="17"/>
      <c r="XEW6" s="17"/>
      <c r="XEX6" s="1"/>
      <c r="XEY6" s="1"/>
      <c r="XEZ6" s="1"/>
      <c r="XFA6" s="1"/>
      <c r="XFB6" s="1"/>
      <c r="XFC6" s="1"/>
      <c r="XFD6" s="1"/>
    </row>
    <row r="7" s="19" customFormat="true" ht="18" hidden="false" customHeight="true" outlineLevel="0" collapsed="false">
      <c r="A7" s="16" t="s">
        <v>34</v>
      </c>
      <c r="B7" s="17"/>
      <c r="C7" s="17"/>
      <c r="D7" s="17"/>
      <c r="E7" s="17"/>
      <c r="F7" s="17"/>
      <c r="G7" s="17"/>
      <c r="H7" s="17"/>
      <c r="I7" s="17"/>
      <c r="J7" s="17"/>
      <c r="K7" s="18"/>
      <c r="L7" s="17"/>
      <c r="M7" s="17"/>
      <c r="N7" s="18"/>
      <c r="O7" s="17"/>
      <c r="R7" s="20"/>
      <c r="S7" s="20"/>
      <c r="T7" s="20"/>
      <c r="U7" s="1"/>
      <c r="V7" s="19" t="s">
        <v>32</v>
      </c>
      <c r="Y7" s="1"/>
      <c r="Z7" s="19" t="s">
        <v>33</v>
      </c>
      <c r="AC7" s="17"/>
      <c r="AV7" s="19" t="s">
        <v>35</v>
      </c>
      <c r="AW7" s="19" t="s">
        <v>36</v>
      </c>
      <c r="AZ7" s="19" t="s">
        <v>37</v>
      </c>
      <c r="XDN7" s="17"/>
      <c r="XDO7" s="17"/>
      <c r="XDP7" s="17"/>
      <c r="XDQ7" s="17"/>
      <c r="XDR7" s="17"/>
      <c r="XDS7" s="17"/>
      <c r="XDT7" s="17"/>
      <c r="XDU7" s="17"/>
      <c r="XDV7" s="17"/>
      <c r="XDW7" s="17"/>
      <c r="XDX7" s="17"/>
      <c r="XDY7" s="17"/>
      <c r="XDZ7" s="17"/>
      <c r="XEA7" s="17"/>
      <c r="XEB7" s="17"/>
      <c r="XEC7" s="17"/>
      <c r="XED7" s="17"/>
      <c r="XEE7" s="17"/>
      <c r="XEF7" s="17"/>
      <c r="XEG7" s="17"/>
      <c r="XEH7" s="17"/>
      <c r="XEI7" s="17"/>
      <c r="XEJ7" s="17"/>
      <c r="XEK7" s="17"/>
      <c r="XEL7" s="17"/>
      <c r="XEM7" s="17"/>
      <c r="XEN7" s="17"/>
      <c r="XEO7" s="17"/>
      <c r="XEP7" s="17"/>
      <c r="XEQ7" s="17"/>
      <c r="XER7" s="17"/>
      <c r="XES7" s="17"/>
      <c r="XET7" s="17"/>
      <c r="XEU7" s="17"/>
      <c r="XEV7" s="17"/>
      <c r="XEW7" s="17"/>
      <c r="XEX7" s="1"/>
      <c r="XEY7" s="1"/>
      <c r="XEZ7" s="1"/>
      <c r="XFA7" s="1"/>
      <c r="XFB7" s="1"/>
      <c r="XFC7" s="1"/>
      <c r="XFD7" s="1"/>
    </row>
    <row r="8" s="22" customFormat="true" ht="15" hidden="false" customHeight="true" outlineLevel="0" collapsed="false">
      <c r="A8" s="21" t="s">
        <v>38</v>
      </c>
      <c r="B8" s="22" t="n">
        <v>143</v>
      </c>
      <c r="C8" s="23" t="n">
        <f aca="false">B8/$P8/10</f>
        <v>0.0350512532661395</v>
      </c>
      <c r="D8" s="22" t="n">
        <v>330</v>
      </c>
      <c r="E8" s="23" t="n">
        <f aca="false">D8/$P8/10</f>
        <v>0.080887507537245</v>
      </c>
      <c r="F8" s="24" t="n">
        <v>26.4</v>
      </c>
      <c r="G8" s="23" t="n">
        <f aca="false">F8/$P8/10</f>
        <v>0.0064710006029796</v>
      </c>
      <c r="H8" s="24" t="n">
        <v>920</v>
      </c>
      <c r="I8" s="23" t="n">
        <f aca="false">H8/$P8/10</f>
        <v>0.225504566467471</v>
      </c>
      <c r="J8" s="22" t="n">
        <f aca="false">L8*$J$37/100</f>
        <v>185.3</v>
      </c>
      <c r="K8" s="23" t="n">
        <f aca="false">J8/$P8/10</f>
        <v>0.0454195610504591</v>
      </c>
      <c r="L8" s="22" t="n">
        <v>1090</v>
      </c>
      <c r="M8" s="22" t="n">
        <f aca="false">O8*$M$37/100</f>
        <v>1346.4</v>
      </c>
      <c r="N8" s="23" t="n">
        <f aca="false">M8/$P8/10</f>
        <v>0.33002103075196</v>
      </c>
      <c r="O8" s="22" t="n">
        <v>9900</v>
      </c>
      <c r="P8" s="25" t="n">
        <v>407.974</v>
      </c>
      <c r="Q8" s="25" t="n">
        <f aca="false">100*P8/$P$36</f>
        <v>2.80209736617656</v>
      </c>
      <c r="R8" s="22" t="n">
        <f aca="false">H8+F8+B8+D8+J8+M8</f>
        <v>2951.1</v>
      </c>
      <c r="S8" s="25" t="n">
        <f aca="false">R8/P8</f>
        <v>7.23354919676254</v>
      </c>
      <c r="T8" s="22" t="n">
        <f aca="false">124*(1.08)^4*3/5</f>
        <v>101.220378624</v>
      </c>
      <c r="U8" s="25" t="n">
        <f aca="false">-T8+($Q$45 + $Q$46)*1000*Q8/100</f>
        <v>1143.64219937096</v>
      </c>
      <c r="V8" s="25" t="n">
        <f aca="false">U8/P8/10</f>
        <v>0.280322324307667</v>
      </c>
      <c r="W8" s="25" t="n">
        <f aca="false">U8/P8</f>
        <v>2.80322324307667</v>
      </c>
      <c r="Y8" s="25" t="n">
        <f aca="false">-Q8*($Q$47)*10</f>
        <v>-672.503367882374</v>
      </c>
      <c r="Z8" s="25" t="n">
        <f aca="false">Y8/P8/10</f>
        <v>-0.16483976132851</v>
      </c>
      <c r="AC8" s="22" t="n">
        <v>514.3</v>
      </c>
      <c r="AH8" s="22" t="s">
        <v>39</v>
      </c>
      <c r="AI8" s="22" t="n">
        <v>1</v>
      </c>
      <c r="AJ8" s="22" t="n">
        <v>90</v>
      </c>
      <c r="AK8" s="22" t="n">
        <f aca="false">AI8+AJ8/100</f>
        <v>1.9</v>
      </c>
      <c r="AL8" s="22" t="n">
        <f aca="false">AK8*1000</f>
        <v>1900</v>
      </c>
      <c r="AO8" s="26" t="s">
        <v>40</v>
      </c>
      <c r="AP8" s="22" t="n">
        <v>9</v>
      </c>
      <c r="AQ8" s="22" t="n">
        <v>9</v>
      </c>
      <c r="AR8" s="26" t="n">
        <f aca="false">AP8+AQ8/10</f>
        <v>9.9</v>
      </c>
      <c r="AS8" s="26" t="n">
        <f aca="false">1000*AR8</f>
        <v>9900</v>
      </c>
      <c r="AU8" s="26" t="s">
        <v>39</v>
      </c>
      <c r="AV8" s="22" t="n">
        <v>1.09</v>
      </c>
      <c r="AW8" s="22" t="n">
        <v>2.43</v>
      </c>
      <c r="AX8" s="22" t="n">
        <v>2.81</v>
      </c>
      <c r="AY8" s="22" t="n">
        <v>0.86</v>
      </c>
      <c r="AZ8" s="22" t="n">
        <v>1.17</v>
      </c>
      <c r="BA8" s="26" t="s">
        <v>41</v>
      </c>
      <c r="BC8" s="26" t="n">
        <f aca="false">AV8*1000</f>
        <v>1090</v>
      </c>
      <c r="BE8" s="22" t="s">
        <v>42</v>
      </c>
      <c r="BF8" s="22" t="n">
        <v>148</v>
      </c>
      <c r="BG8" s="22" t="n">
        <v>105</v>
      </c>
      <c r="BH8" s="22" t="s">
        <v>43</v>
      </c>
      <c r="BI8" s="22" t="n">
        <v>143</v>
      </c>
      <c r="BK8" s="22" t="s">
        <v>39</v>
      </c>
      <c r="BL8" s="22" t="n">
        <v>330</v>
      </c>
      <c r="BM8" s="22" t="s">
        <v>44</v>
      </c>
    </row>
    <row r="9" s="22" customFormat="true" ht="15" hidden="false" customHeight="true" outlineLevel="0" collapsed="false">
      <c r="A9" s="27" t="s">
        <v>45</v>
      </c>
      <c r="B9" s="22" t="n">
        <v>201</v>
      </c>
      <c r="C9" s="23" t="n">
        <f aca="false">B9/$P9/10</f>
        <v>0.0396480984693072</v>
      </c>
      <c r="D9" s="22" t="n">
        <v>184</v>
      </c>
      <c r="E9" s="23" t="n">
        <f aca="false">D9/$P9/10</f>
        <v>0.0362947767082216</v>
      </c>
      <c r="F9" s="28" t="n">
        <v>61.1</v>
      </c>
      <c r="G9" s="23" t="n">
        <f aca="false">F9/$P9/10</f>
        <v>0.0120522329177844</v>
      </c>
      <c r="H9" s="28" t="n">
        <v>722</v>
      </c>
      <c r="I9" s="23" t="n">
        <f aca="false">H9/$P9/10</f>
        <v>0.142417547735522</v>
      </c>
      <c r="J9" s="22" t="n">
        <f aca="false">L9*$J$37/100</f>
        <v>187</v>
      </c>
      <c r="K9" s="23" t="n">
        <f aca="false">J9/$P9/10</f>
        <v>0.0368865393719426</v>
      </c>
      <c r="L9" s="22" t="n">
        <v>1100</v>
      </c>
      <c r="M9" s="22" t="n">
        <f aca="false">O9*$M$37/100</f>
        <v>1332.8</v>
      </c>
      <c r="N9" s="23" t="n">
        <f aca="false">M9/$P9/10</f>
        <v>0.262900426069118</v>
      </c>
      <c r="O9" s="22" t="n">
        <v>9800</v>
      </c>
      <c r="P9" s="25" t="n">
        <v>506.96</v>
      </c>
      <c r="Q9" s="25" t="n">
        <f aca="false">100*P9/$P$36</f>
        <v>3.48196522512922</v>
      </c>
      <c r="R9" s="22" t="n">
        <f aca="false">H9+F9+B9+D9+J9+M9</f>
        <v>2687.9</v>
      </c>
      <c r="S9" s="25" t="n">
        <f aca="false">R9/P9</f>
        <v>5.30199621271895</v>
      </c>
      <c r="T9" s="29" t="n">
        <f aca="false">F9</f>
        <v>61.1</v>
      </c>
      <c r="U9" s="25" t="n">
        <f aca="false">-T9+($Q$45 + $Q$46)*1000*Q9/100</f>
        <v>1485.80135288113</v>
      </c>
      <c r="V9" s="25" t="n">
        <f aca="false">U9/P9/10</f>
        <v>0.293080588780403</v>
      </c>
      <c r="W9" s="25" t="n">
        <f aca="false">U9/P9</f>
        <v>2.93080588780403</v>
      </c>
      <c r="Y9" s="25" t="n">
        <f aca="false">-Q9*($Q$47)*10</f>
        <v>-835.671654031012</v>
      </c>
      <c r="Z9" s="25" t="n">
        <f aca="false">Y9/P9/10</f>
        <v>-0.16483976132851</v>
      </c>
      <c r="AC9" s="22" t="n">
        <v>642</v>
      </c>
      <c r="AH9" s="22" t="s">
        <v>46</v>
      </c>
      <c r="AI9" s="22" t="n">
        <v>1</v>
      </c>
      <c r="AJ9" s="22" t="n">
        <v>10</v>
      </c>
      <c r="AK9" s="22" t="n">
        <f aca="false">AI9+AJ9/100</f>
        <v>1.1</v>
      </c>
      <c r="AL9" s="22" t="n">
        <f aca="false">AK9*1000</f>
        <v>1100</v>
      </c>
      <c r="AO9" s="26" t="s">
        <v>47</v>
      </c>
      <c r="AP9" s="22" t="n">
        <v>9</v>
      </c>
      <c r="AQ9" s="22" t="n">
        <v>8</v>
      </c>
      <c r="AR9" s="26" t="n">
        <f aca="false">AP9+AQ9/10</f>
        <v>9.8</v>
      </c>
      <c r="AS9" s="26" t="n">
        <f aca="false">1000*AR9</f>
        <v>9800</v>
      </c>
      <c r="AU9" s="26" t="s">
        <v>46</v>
      </c>
      <c r="AV9" s="22" t="n">
        <v>1.1</v>
      </c>
      <c r="AW9" s="22" t="n">
        <v>2.45</v>
      </c>
      <c r="AX9" s="22" t="n">
        <v>3.46</v>
      </c>
      <c r="AY9" s="22" t="n">
        <v>0.71</v>
      </c>
      <c r="AZ9" s="22" t="n">
        <v>0.96</v>
      </c>
      <c r="BA9" s="26" t="s">
        <v>48</v>
      </c>
      <c r="BC9" s="26" t="n">
        <f aca="false">AV9*1000</f>
        <v>1100</v>
      </c>
      <c r="BE9" s="22" t="s">
        <v>49</v>
      </c>
      <c r="BF9" s="22" t="n">
        <v>82</v>
      </c>
      <c r="BG9" s="22" t="n">
        <v>148</v>
      </c>
      <c r="BH9" s="22" t="s">
        <v>50</v>
      </c>
      <c r="BI9" s="22" t="n">
        <v>201</v>
      </c>
      <c r="BK9" s="22" t="s">
        <v>46</v>
      </c>
      <c r="BL9" s="22" t="n">
        <v>184</v>
      </c>
      <c r="BM9" s="22" t="s">
        <v>51</v>
      </c>
    </row>
    <row r="10" s="22" customFormat="true" ht="15" hidden="false" customHeight="true" outlineLevel="0" collapsed="false">
      <c r="A10" s="21" t="s">
        <v>52</v>
      </c>
      <c r="B10" s="22" t="n">
        <v>38</v>
      </c>
      <c r="C10" s="23" t="n">
        <f aca="false">B10/$P10/10</f>
        <v>0.0726008291778911</v>
      </c>
      <c r="D10" s="22" t="n">
        <v>18</v>
      </c>
      <c r="E10" s="23" t="n">
        <f aca="false">D10/$P10/10</f>
        <v>0.0343898664526853</v>
      </c>
      <c r="F10" s="24" t="n">
        <v>0.2</v>
      </c>
      <c r="G10" s="23" t="n">
        <f aca="false">F10/$P10/10</f>
        <v>0.000382109627252059</v>
      </c>
      <c r="H10" s="24" t="n">
        <v>40</v>
      </c>
      <c r="I10" s="23" t="n">
        <f aca="false">H10/$P10/10</f>
        <v>0.0764219254504117</v>
      </c>
      <c r="J10" s="22" t="n">
        <f aca="false">L10*$J$37/100</f>
        <v>45.9</v>
      </c>
      <c r="K10" s="23" t="n">
        <f aca="false">J10/$P10/10</f>
        <v>0.0876941594543474</v>
      </c>
      <c r="L10" s="22" t="n">
        <v>270</v>
      </c>
      <c r="M10" s="22" t="n">
        <f aca="false">O10*$M$37/100</f>
        <v>217.6</v>
      </c>
      <c r="N10" s="23" t="n">
        <f aca="false">M10/$P10/10</f>
        <v>0.41573527445024</v>
      </c>
      <c r="O10" s="22" t="n">
        <v>1600</v>
      </c>
      <c r="P10" s="25" t="n">
        <v>52.341</v>
      </c>
      <c r="Q10" s="25" t="n">
        <f aca="false">100*P10/$P$36</f>
        <v>0.359494914487313</v>
      </c>
      <c r="R10" s="22" t="n">
        <f aca="false">H10+F10+B10+D10+J10+M10</f>
        <v>359.7</v>
      </c>
      <c r="S10" s="25" t="n">
        <f aca="false">R10/P10</f>
        <v>6.87224164612827</v>
      </c>
      <c r="U10" s="25" t="n">
        <f aca="false">-T10+($Q$45 + $Q$46)*1000*Q10/100</f>
        <v>159.709570205048</v>
      </c>
      <c r="V10" s="25" t="n">
        <f aca="false">U10/P10/10</f>
        <v>0.305132821698187</v>
      </c>
      <c r="W10" s="25" t="n">
        <f aca="false">U10/P10</f>
        <v>3.05132821698187</v>
      </c>
      <c r="Y10" s="25" t="n">
        <f aca="false">-Q10*($Q$47)*10</f>
        <v>-86.2787794769552</v>
      </c>
      <c r="Z10" s="25" t="n">
        <f aca="false">Y10/P10/10</f>
        <v>-0.16483976132851</v>
      </c>
      <c r="AC10" s="22" t="n">
        <v>116</v>
      </c>
      <c r="AH10" s="22" t="s">
        <v>53</v>
      </c>
      <c r="AI10" s="22" t="n">
        <v>0</v>
      </c>
      <c r="AJ10" s="22" t="n">
        <v>27</v>
      </c>
      <c r="AK10" s="22" t="n">
        <f aca="false">AI10+AJ10/100</f>
        <v>0.27</v>
      </c>
      <c r="AL10" s="22" t="n">
        <f aca="false">AK10*1000</f>
        <v>270</v>
      </c>
      <c r="AO10" s="26" t="s">
        <v>52</v>
      </c>
      <c r="AP10" s="22" t="n">
        <v>1</v>
      </c>
      <c r="AQ10" s="22" t="n">
        <v>6</v>
      </c>
      <c r="AR10" s="26" t="n">
        <f aca="false">AP10+AQ10/10</f>
        <v>1.6</v>
      </c>
      <c r="AS10" s="26" t="n">
        <f aca="false">1000*AR10</f>
        <v>1600</v>
      </c>
      <c r="AU10" s="26" t="s">
        <v>53</v>
      </c>
      <c r="AV10" s="22" t="n">
        <v>0.27</v>
      </c>
      <c r="AW10" s="22" t="n">
        <v>0.6</v>
      </c>
      <c r="AX10" s="22" t="n">
        <v>0.55</v>
      </c>
      <c r="AY10" s="22" t="n">
        <v>1.09</v>
      </c>
      <c r="AZ10" s="22" t="n">
        <v>1.48</v>
      </c>
      <c r="BA10" s="26" t="s">
        <v>54</v>
      </c>
      <c r="BC10" s="26" t="n">
        <f aca="false">AV10*1000</f>
        <v>270</v>
      </c>
      <c r="BE10" s="22" t="s">
        <v>55</v>
      </c>
      <c r="BF10" s="22" t="n">
        <v>8</v>
      </c>
      <c r="BG10" s="22" t="n">
        <v>28</v>
      </c>
      <c r="BH10" s="22" t="s">
        <v>50</v>
      </c>
      <c r="BI10" s="22" t="n">
        <v>38</v>
      </c>
      <c r="BK10" s="22" t="s">
        <v>53</v>
      </c>
      <c r="BL10" s="22" t="n">
        <v>18</v>
      </c>
      <c r="BM10" s="22" t="s">
        <v>56</v>
      </c>
    </row>
    <row r="11" s="22" customFormat="true" ht="15" hidden="false" customHeight="true" outlineLevel="0" collapsed="false">
      <c r="A11" s="27" t="s">
        <v>57</v>
      </c>
      <c r="B11" s="22" t="n">
        <v>46</v>
      </c>
      <c r="C11" s="23" t="n">
        <f aca="false">B11/$P11/10</f>
        <v>0.0786755148115208</v>
      </c>
      <c r="D11" s="22" t="n">
        <v>26</v>
      </c>
      <c r="E11" s="23" t="n">
        <f aca="false">D11/$P11/10</f>
        <v>0.0444687692412944</v>
      </c>
      <c r="F11" s="28" t="n">
        <v>0.3</v>
      </c>
      <c r="G11" s="23" t="n">
        <f aca="false">F11/$P11/10</f>
        <v>0.000513101183553397</v>
      </c>
      <c r="H11" s="28" t="n">
        <v>36</v>
      </c>
      <c r="I11" s="23" t="n">
        <f aca="false">H11/$P11/10</f>
        <v>0.0615721420264076</v>
      </c>
      <c r="J11" s="22" t="n">
        <f aca="false">L11*$J$37/100</f>
        <v>64.6</v>
      </c>
      <c r="K11" s="23" t="n">
        <f aca="false">J11/$P11/10</f>
        <v>0.110487788191831</v>
      </c>
      <c r="L11" s="22" t="n">
        <v>380</v>
      </c>
      <c r="M11" s="22" t="n">
        <f aca="false">O11*$M$37/100</f>
        <v>312.8</v>
      </c>
      <c r="N11" s="23" t="n">
        <f aca="false">M11/$P11/10</f>
        <v>0.534993500718342</v>
      </c>
      <c r="O11" s="22" t="n">
        <v>2300</v>
      </c>
      <c r="P11" s="25" t="n">
        <v>58.468</v>
      </c>
      <c r="Q11" s="25" t="n">
        <f aca="false">100*P11/$P$36</f>
        <v>0.401577131889804</v>
      </c>
      <c r="R11" s="22" t="n">
        <f aca="false">H11+F11+B11+D11+J11+M11</f>
        <v>485.7</v>
      </c>
      <c r="S11" s="25" t="n">
        <f aca="false">R11/P11</f>
        <v>8.30710816172949</v>
      </c>
      <c r="U11" s="25" t="n">
        <f aca="false">-T11+($Q$45 + $Q$46)*1000*Q11/100</f>
        <v>178.405058190496</v>
      </c>
      <c r="V11" s="25" t="n">
        <f aca="false">U11/P11/10</f>
        <v>0.305132821698187</v>
      </c>
      <c r="W11" s="25" t="n">
        <f aca="false">ROUND(U11/P11 *100/1000, 2)</f>
        <v>0.31</v>
      </c>
      <c r="Y11" s="25" t="n">
        <f aca="false">-Q11*($Q$47)*10</f>
        <v>-96.378511653553</v>
      </c>
      <c r="Z11" s="25" t="n">
        <f aca="false">Y11/P11/10</f>
        <v>-0.16483976132851</v>
      </c>
      <c r="AC11" s="22" t="n">
        <v>93</v>
      </c>
      <c r="AH11" s="22" t="s">
        <v>58</v>
      </c>
      <c r="AI11" s="22" t="n">
        <v>0</v>
      </c>
      <c r="AJ11" s="22" t="n">
        <v>38</v>
      </c>
      <c r="AK11" s="22" t="n">
        <f aca="false">AI11+AJ11/100</f>
        <v>0.38</v>
      </c>
      <c r="AL11" s="22" t="n">
        <f aca="false">AK11*1000</f>
        <v>380</v>
      </c>
      <c r="AO11" s="26" t="s">
        <v>57</v>
      </c>
      <c r="AP11" s="22" t="n">
        <v>2</v>
      </c>
      <c r="AQ11" s="22" t="n">
        <v>3</v>
      </c>
      <c r="AR11" s="26" t="n">
        <f aca="false">AP11+AQ11/10</f>
        <v>2.3</v>
      </c>
      <c r="AS11" s="26" t="n">
        <f aca="false">1000*AR11</f>
        <v>2300</v>
      </c>
      <c r="AU11" s="26" t="s">
        <v>58</v>
      </c>
      <c r="AV11" s="22" t="n">
        <v>0.38</v>
      </c>
      <c r="AW11" s="22" t="n">
        <v>0.84</v>
      </c>
      <c r="AX11" s="22" t="n">
        <v>0.48</v>
      </c>
      <c r="AY11" s="22" t="n">
        <v>1.76</v>
      </c>
      <c r="AZ11" s="22" t="n">
        <v>2.39</v>
      </c>
      <c r="BA11" s="26" t="s">
        <v>59</v>
      </c>
      <c r="BC11" s="26" t="n">
        <f aca="false">AV11*1000</f>
        <v>380</v>
      </c>
      <c r="BE11" s="22" t="s">
        <v>60</v>
      </c>
      <c r="BF11" s="22" t="n">
        <v>12</v>
      </c>
      <c r="BG11" s="22" t="n">
        <v>34</v>
      </c>
      <c r="BH11" s="22" t="s">
        <v>50</v>
      </c>
      <c r="BI11" s="22" t="n">
        <v>46</v>
      </c>
      <c r="BK11" s="22" t="s">
        <v>58</v>
      </c>
      <c r="BL11" s="22" t="n">
        <v>26</v>
      </c>
      <c r="BM11" s="22" t="s">
        <v>61</v>
      </c>
    </row>
    <row r="12" s="22" customFormat="true" ht="15" hidden="false" customHeight="true" outlineLevel="0" collapsed="false">
      <c r="A12" s="21" t="s">
        <v>62</v>
      </c>
      <c r="B12" s="22" t="n">
        <v>16</v>
      </c>
      <c r="C12" s="23" t="n">
        <f aca="false">B12/$P12/10</f>
        <v>0.0727603456116417</v>
      </c>
      <c r="D12" s="22" t="n">
        <v>17</v>
      </c>
      <c r="E12" s="23" t="n">
        <f aca="false">D12/$P12/10</f>
        <v>0.0773078672123693</v>
      </c>
      <c r="F12" s="24" t="n">
        <v>0.8</v>
      </c>
      <c r="G12" s="23" t="n">
        <f aca="false">F12/$P12/10</f>
        <v>0.00363801728058208</v>
      </c>
      <c r="H12" s="24" t="n">
        <v>46</v>
      </c>
      <c r="I12" s="23" t="n">
        <f aca="false">H12/$P12/10</f>
        <v>0.20918599363347</v>
      </c>
      <c r="J12" s="22" t="n">
        <f aca="false">L12*$J$37/100</f>
        <v>49.3</v>
      </c>
      <c r="K12" s="23" t="n">
        <f aca="false">J12/$P12/10</f>
        <v>0.224192814915871</v>
      </c>
      <c r="L12" s="22" t="n">
        <v>290</v>
      </c>
      <c r="M12" s="22" t="n">
        <f aca="false">O12*$M$37/100</f>
        <v>204</v>
      </c>
      <c r="N12" s="23" t="n">
        <f aca="false">M12/$P12/10</f>
        <v>0.927694406548431</v>
      </c>
      <c r="O12" s="22" t="n">
        <v>1500</v>
      </c>
      <c r="P12" s="25" t="n">
        <v>21.99</v>
      </c>
      <c r="Q12" s="25" t="n">
        <f aca="false">100*P12/$P$36</f>
        <v>0.151034431317247</v>
      </c>
      <c r="R12" s="22" t="n">
        <f aca="false">H12+F12+B12+D12+J12+M12</f>
        <v>333.1</v>
      </c>
      <c r="S12" s="25" t="n">
        <f aca="false">R12/P12</f>
        <v>15.1477944520237</v>
      </c>
      <c r="U12" s="25" t="n">
        <f aca="false">-T12+($Q$45 + $Q$46)*1000*Q12/100</f>
        <v>67.0987074914314</v>
      </c>
      <c r="V12" s="25" t="n">
        <f aca="false">U12/P12/10</f>
        <v>0.305132821698187</v>
      </c>
      <c r="W12" s="25" t="n">
        <f aca="false">ROUND(U12/P12 *100/1000, 2)</f>
        <v>0.31</v>
      </c>
      <c r="Y12" s="25" t="n">
        <f aca="false">-Q12*($Q$47)*10</f>
        <v>-36.2482635161393</v>
      </c>
      <c r="Z12" s="25" t="n">
        <f aca="false">Y12/P12/10</f>
        <v>-0.16483976132851</v>
      </c>
      <c r="AC12" s="22" t="n">
        <v>36.5</v>
      </c>
      <c r="AH12" s="22" t="s">
        <v>63</v>
      </c>
      <c r="AI12" s="22" t="n">
        <v>0</v>
      </c>
      <c r="AJ12" s="22" t="n">
        <v>29</v>
      </c>
      <c r="AK12" s="22" t="n">
        <f aca="false">AI12+AJ12/100</f>
        <v>0.29</v>
      </c>
      <c r="AL12" s="22" t="n">
        <f aca="false">AK12*1000</f>
        <v>290</v>
      </c>
      <c r="AO12" s="26" t="s">
        <v>62</v>
      </c>
      <c r="AP12" s="22" t="n">
        <v>1</v>
      </c>
      <c r="AQ12" s="22" t="n">
        <v>5</v>
      </c>
      <c r="AR12" s="26" t="n">
        <f aca="false">AP12+AQ12/10</f>
        <v>1.5</v>
      </c>
      <c r="AS12" s="26" t="n">
        <f aca="false">1000*AR12</f>
        <v>1500</v>
      </c>
      <c r="AU12" s="26" t="s">
        <v>63</v>
      </c>
      <c r="AV12" s="22" t="n">
        <v>0.29</v>
      </c>
      <c r="AW12" s="22" t="n">
        <v>0.64</v>
      </c>
      <c r="AX12" s="22" t="n">
        <v>0.16</v>
      </c>
      <c r="AY12" s="22" t="n">
        <v>3.9</v>
      </c>
      <c r="AZ12" s="22" t="n">
        <v>5.29</v>
      </c>
      <c r="BA12" s="26" t="s">
        <v>64</v>
      </c>
      <c r="BC12" s="26" t="n">
        <f aca="false">AV12*1000</f>
        <v>290</v>
      </c>
      <c r="BE12" s="22" t="s">
        <v>65</v>
      </c>
      <c r="BF12" s="22" t="s">
        <v>66</v>
      </c>
      <c r="BG12" s="22" t="n">
        <v>12</v>
      </c>
      <c r="BH12" s="22" t="s">
        <v>50</v>
      </c>
      <c r="BI12" s="22" t="n">
        <v>16</v>
      </c>
      <c r="BK12" s="22" t="s">
        <v>67</v>
      </c>
      <c r="BL12" s="22" t="n">
        <v>17</v>
      </c>
      <c r="BM12" s="22" t="s">
        <v>68</v>
      </c>
    </row>
    <row r="13" s="22" customFormat="true" ht="15" hidden="false" customHeight="true" outlineLevel="0" collapsed="false">
      <c r="A13" s="27" t="s">
        <v>69</v>
      </c>
      <c r="B13" s="22" t="n">
        <v>178</v>
      </c>
      <c r="C13" s="23" t="n">
        <f aca="false">B13/$P13/10</f>
        <v>0.0782166601486116</v>
      </c>
      <c r="D13" s="22" t="n">
        <v>263</v>
      </c>
      <c r="E13" s="23" t="n">
        <f aca="false">D13/$P13/10</f>
        <v>0.115567312466769</v>
      </c>
      <c r="F13" s="28" t="n">
        <v>3.8</v>
      </c>
      <c r="G13" s="23" t="n">
        <f aca="false">F13/$P13/10</f>
        <v>0.00166979386834115</v>
      </c>
      <c r="H13" s="28" t="n">
        <v>348</v>
      </c>
      <c r="I13" s="23" t="n">
        <f aca="false">H13/$P13/10</f>
        <v>0.152917964784926</v>
      </c>
      <c r="J13" s="22" t="n">
        <f aca="false">L13*$J$37/100</f>
        <v>74.8</v>
      </c>
      <c r="K13" s="23" t="n">
        <f aca="false">J13/$P13/10</f>
        <v>0.0328685740399784</v>
      </c>
      <c r="L13" s="22" t="n">
        <v>440</v>
      </c>
      <c r="M13" s="22" t="n">
        <f aca="false">O13*$M$37/100</f>
        <v>625.6</v>
      </c>
      <c r="N13" s="23" t="n">
        <f aca="false">M13/$P13/10</f>
        <v>0.274900801061637</v>
      </c>
      <c r="O13" s="22" t="n">
        <v>4600</v>
      </c>
      <c r="P13" s="25" t="n">
        <v>227.573</v>
      </c>
      <c r="Q13" s="25" t="n">
        <f aca="false">100*P13/$P$36</f>
        <v>1.56304495853387</v>
      </c>
      <c r="R13" s="22" t="n">
        <f aca="false">H13+F13+B13+D13+J13+M13</f>
        <v>1493.2</v>
      </c>
      <c r="S13" s="25" t="n">
        <f aca="false">R13/P13</f>
        <v>6.56141106370264</v>
      </c>
      <c r="U13" s="25" t="n">
        <f aca="false">-T13+($Q$45 + $Q$46)*1000*Q13/100</f>
        <v>694.399916323216</v>
      </c>
      <c r="V13" s="25" t="n">
        <f aca="false">U13/P13/10</f>
        <v>0.305132821698187</v>
      </c>
      <c r="W13" s="25" t="n">
        <f aca="false">ROUND(U13/P13 *100/1000, 2)</f>
        <v>0.31</v>
      </c>
      <c r="Y13" s="25" t="n">
        <f aca="false">-Q13*($Q$47)*10</f>
        <v>-375.130790048129</v>
      </c>
      <c r="Z13" s="25" t="n">
        <f aca="false">Y13/P13/10</f>
        <v>-0.16483976132851</v>
      </c>
      <c r="AC13" s="22" t="n">
        <v>347.3</v>
      </c>
      <c r="AH13" s="22" t="s">
        <v>70</v>
      </c>
      <c r="AI13" s="22" t="n">
        <v>0</v>
      </c>
      <c r="AJ13" s="22" t="n">
        <v>44</v>
      </c>
      <c r="AK13" s="22" t="n">
        <f aca="false">AI13+AJ13/100</f>
        <v>0.44</v>
      </c>
      <c r="AL13" s="22" t="n">
        <f aca="false">AK13*1000</f>
        <v>440</v>
      </c>
      <c r="AO13" s="26" t="s">
        <v>71</v>
      </c>
      <c r="AP13" s="22" t="n">
        <v>4</v>
      </c>
      <c r="AQ13" s="22" t="n">
        <v>6</v>
      </c>
      <c r="AR13" s="26" t="n">
        <f aca="false">AP13+AQ13/10</f>
        <v>4.6</v>
      </c>
      <c r="AS13" s="26" t="n">
        <f aca="false">1000*AR13</f>
        <v>4600</v>
      </c>
      <c r="AU13" s="26" t="s">
        <v>70</v>
      </c>
      <c r="AV13" s="22" t="n">
        <v>0.44</v>
      </c>
      <c r="AW13" s="22" t="n">
        <v>0.98</v>
      </c>
      <c r="AX13" s="22" t="n">
        <v>1.68</v>
      </c>
      <c r="AY13" s="22" t="n">
        <v>0.58</v>
      </c>
      <c r="AZ13" s="22" t="n">
        <v>0.79</v>
      </c>
      <c r="BA13" s="26" t="s">
        <v>72</v>
      </c>
      <c r="BC13" s="26" t="n">
        <f aca="false">AV13*1000</f>
        <v>440</v>
      </c>
      <c r="BE13" s="22" t="s">
        <v>73</v>
      </c>
      <c r="BF13" s="22" t="n">
        <v>118</v>
      </c>
      <c r="BG13" s="22" t="n">
        <v>131</v>
      </c>
      <c r="BH13" s="22" t="s">
        <v>50</v>
      </c>
      <c r="BI13" s="22" t="n">
        <v>178</v>
      </c>
      <c r="BK13" s="22" t="s">
        <v>74</v>
      </c>
      <c r="BL13" s="22" t="n">
        <v>263</v>
      </c>
      <c r="BM13" s="22" t="s">
        <v>75</v>
      </c>
    </row>
    <row r="14" s="22" customFormat="true" ht="15" hidden="false" customHeight="true" outlineLevel="0" collapsed="false">
      <c r="A14" s="21" t="s">
        <v>76</v>
      </c>
      <c r="B14" s="22" t="n">
        <v>108</v>
      </c>
      <c r="C14" s="23" t="n">
        <f aca="false">B14/$P14/10</f>
        <v>0.0310018773359053</v>
      </c>
      <c r="D14" s="22" t="n">
        <v>258</v>
      </c>
      <c r="E14" s="23" t="n">
        <f aca="false">D14/$P14/10</f>
        <v>0.0740600403024405</v>
      </c>
      <c r="F14" s="24" t="n">
        <v>113.8</v>
      </c>
      <c r="G14" s="23" t="n">
        <f aca="false">F14/$P14/10</f>
        <v>0.0326667929706114</v>
      </c>
      <c r="H14" s="24" t="n">
        <v>533</v>
      </c>
      <c r="I14" s="23" t="n">
        <f aca="false">H14/$P14/10</f>
        <v>0.153000005741088</v>
      </c>
      <c r="J14" s="22" t="n">
        <f aca="false">L14*$J$37/100</f>
        <v>192.1</v>
      </c>
      <c r="K14" s="23" t="n">
        <f aca="false">J14/$P14/10</f>
        <v>0.0551431540391427</v>
      </c>
      <c r="L14" s="22" t="n">
        <v>1130</v>
      </c>
      <c r="M14" s="22" t="n">
        <f aca="false">O14*$M$37/100</f>
        <v>571.2</v>
      </c>
      <c r="N14" s="23" t="n">
        <f aca="false">M14/$P14/10</f>
        <v>0.163965484576566</v>
      </c>
      <c r="O14" s="22" t="n">
        <v>4200</v>
      </c>
      <c r="P14" s="25" t="n">
        <v>348.366</v>
      </c>
      <c r="Q14" s="25" t="n">
        <f aca="false">100*P14/$P$36</f>
        <v>2.39269034562365</v>
      </c>
      <c r="R14" s="22" t="n">
        <f aca="false">H14+F14+B14+D14+J14+M14</f>
        <v>1776.1</v>
      </c>
      <c r="S14" s="25" t="n">
        <f aca="false">R14/P14</f>
        <v>5.09837354965754</v>
      </c>
      <c r="U14" s="25" t="n">
        <f aca="false">-T14+($Q$45 + $Q$46)*1000*Q14/100</f>
        <v>1062.97900563711</v>
      </c>
      <c r="V14" s="25" t="n">
        <f aca="false">U14/P14/10</f>
        <v>0.305132821698187</v>
      </c>
      <c r="W14" s="25" t="n">
        <f aca="false">ROUND(U14/P14 *100/1000, 2)</f>
        <v>0.31</v>
      </c>
      <c r="Y14" s="25" t="n">
        <f aca="false">-Q14*($Q$47)*10</f>
        <v>-574.245682949676</v>
      </c>
      <c r="Z14" s="25" t="n">
        <f aca="false">Y14/P14/10</f>
        <v>-0.16483976132851</v>
      </c>
      <c r="AC14" s="22" t="n">
        <v>417.8</v>
      </c>
      <c r="AH14" s="22" t="s">
        <v>77</v>
      </c>
      <c r="AI14" s="22" t="n">
        <v>1</v>
      </c>
      <c r="AJ14" s="22" t="n">
        <v>13</v>
      </c>
      <c r="AK14" s="22" t="n">
        <f aca="false">AI14+AJ14/100</f>
        <v>1.13</v>
      </c>
      <c r="AL14" s="22" t="n">
        <f aca="false">AK14*1000</f>
        <v>1130</v>
      </c>
      <c r="AO14" s="26" t="s">
        <v>78</v>
      </c>
      <c r="AP14" s="22" t="n">
        <v>4</v>
      </c>
      <c r="AQ14" s="22" t="n">
        <v>2</v>
      </c>
      <c r="AR14" s="26" t="n">
        <f aca="false">AP14+AQ14/10</f>
        <v>4.2</v>
      </c>
      <c r="AS14" s="26" t="n">
        <f aca="false">1000*AR14</f>
        <v>4200</v>
      </c>
      <c r="AU14" s="26" t="s">
        <v>77</v>
      </c>
      <c r="AV14" s="22" t="n">
        <v>1.13</v>
      </c>
      <c r="AW14" s="22" t="n">
        <v>2.5</v>
      </c>
      <c r="AX14" s="22" t="n">
        <v>2.27</v>
      </c>
      <c r="AY14" s="22" t="n">
        <v>1.1</v>
      </c>
      <c r="AZ14" s="22" t="n">
        <v>1.49</v>
      </c>
      <c r="BA14" s="26" t="s">
        <v>79</v>
      </c>
      <c r="BC14" s="26" t="n">
        <f aca="false">AV14*1000</f>
        <v>1130</v>
      </c>
      <c r="BE14" s="22" t="s">
        <v>80</v>
      </c>
      <c r="BF14" s="22" t="n">
        <v>116</v>
      </c>
      <c r="BG14" s="22" t="n">
        <v>79</v>
      </c>
      <c r="BH14" s="22" t="s">
        <v>50</v>
      </c>
      <c r="BI14" s="22" t="n">
        <v>108</v>
      </c>
      <c r="BK14" s="22" t="s">
        <v>77</v>
      </c>
      <c r="BL14" s="22" t="n">
        <v>258</v>
      </c>
      <c r="BM14" s="22" t="s">
        <v>81</v>
      </c>
    </row>
    <row r="15" s="22" customFormat="true" ht="15" hidden="false" customHeight="true" outlineLevel="0" collapsed="false">
      <c r="A15" s="27" t="s">
        <v>82</v>
      </c>
      <c r="B15" s="22" t="n">
        <v>23</v>
      </c>
      <c r="C15" s="23" t="n">
        <f aca="false">B15/$P15/10</f>
        <v>0.0744360658921001</v>
      </c>
      <c r="D15" s="22" t="n">
        <v>21</v>
      </c>
      <c r="E15" s="23" t="n">
        <f aca="false">D15/$P15/10</f>
        <v>0.0679633645101783</v>
      </c>
      <c r="F15" s="28" t="n">
        <v>0.1</v>
      </c>
      <c r="G15" s="23" t="n">
        <f aca="false">F15/$P15/10</f>
        <v>0.000323635069096087</v>
      </c>
      <c r="H15" s="28" t="n">
        <v>29</v>
      </c>
      <c r="I15" s="23" t="n">
        <f aca="false">H15/$P15/10</f>
        <v>0.0938541700378653</v>
      </c>
      <c r="J15" s="22" t="n">
        <f aca="false">L15*$J$37/100</f>
        <v>15.3</v>
      </c>
      <c r="K15" s="23" t="n">
        <f aca="false">J15/$P15/10</f>
        <v>0.0495161655717014</v>
      </c>
      <c r="L15" s="22" t="n">
        <v>90</v>
      </c>
      <c r="M15" s="22" t="n">
        <f aca="false">O15*$M$37/100</f>
        <v>68</v>
      </c>
      <c r="N15" s="23" t="n">
        <f aca="false">M15/$P15/10</f>
        <v>0.220071846985339</v>
      </c>
      <c r="O15" s="22" t="n">
        <v>500</v>
      </c>
      <c r="P15" s="25" t="n">
        <v>30.899</v>
      </c>
      <c r="Q15" s="25" t="n">
        <f aca="false">100*P15/$P$36</f>
        <v>0.212224324387067</v>
      </c>
      <c r="R15" s="22" t="n">
        <f aca="false">H15+F15+B15+D15+J15+M15</f>
        <v>156.4</v>
      </c>
      <c r="S15" s="25" t="n">
        <f aca="false">R15/P15</f>
        <v>5.0616524806628</v>
      </c>
      <c r="U15" s="25" t="n">
        <f aca="false">-T15+($Q$45 + $Q$46)*1000*Q15/100</f>
        <v>94.2829905765229</v>
      </c>
      <c r="V15" s="25" t="n">
        <f aca="false">U15/P15/10</f>
        <v>0.305132821698187</v>
      </c>
      <c r="W15" s="25" t="n">
        <f aca="false">ROUND(U15/P15 *100/1000, 2)</f>
        <v>0.31</v>
      </c>
      <c r="Y15" s="25" t="n">
        <f aca="false">-Q15*($Q$47)*10</f>
        <v>-50.9338378528962</v>
      </c>
      <c r="Z15" s="25" t="n">
        <f aca="false">Y15/P15/10</f>
        <v>-0.16483976132851</v>
      </c>
      <c r="AC15" s="22" t="n">
        <v>41.9</v>
      </c>
      <c r="AH15" s="22" t="s">
        <v>83</v>
      </c>
      <c r="AI15" s="22" t="n">
        <v>0</v>
      </c>
      <c r="AJ15" s="22" t="n">
        <v>90</v>
      </c>
      <c r="AK15" s="22" t="n">
        <f aca="false">AI15+AJ15/100</f>
        <v>0.9</v>
      </c>
      <c r="AL15" s="22" t="n">
        <f aca="false">AK15*1000</f>
        <v>900</v>
      </c>
      <c r="AO15" s="26" t="s">
        <v>82</v>
      </c>
      <c r="AP15" s="22" t="n">
        <v>0</v>
      </c>
      <c r="AQ15" s="22" t="n">
        <v>5</v>
      </c>
      <c r="AR15" s="26" t="n">
        <f aca="false">AP15+AQ15/10</f>
        <v>0.5</v>
      </c>
      <c r="AS15" s="26" t="n">
        <f aca="false">1000*AR15</f>
        <v>500</v>
      </c>
      <c r="AU15" s="26" t="s">
        <v>83</v>
      </c>
      <c r="AV15" s="22" t="n">
        <v>0.09</v>
      </c>
      <c r="AW15" s="22" t="n">
        <v>0.22</v>
      </c>
      <c r="AX15" s="22" t="n">
        <v>0.22</v>
      </c>
      <c r="AY15" s="22" t="n">
        <v>0.96</v>
      </c>
      <c r="AZ15" s="22" t="n">
        <v>1.3</v>
      </c>
      <c r="BA15" s="26" t="s">
        <v>84</v>
      </c>
      <c r="BC15" s="26" t="n">
        <f aca="false">AV15*1000</f>
        <v>90</v>
      </c>
      <c r="BE15" s="22" t="s">
        <v>85</v>
      </c>
      <c r="BF15" s="22" t="n">
        <v>10</v>
      </c>
      <c r="BG15" s="22" t="n">
        <v>17</v>
      </c>
      <c r="BH15" s="22" t="s">
        <v>50</v>
      </c>
      <c r="BI15" s="22" t="n">
        <v>23</v>
      </c>
      <c r="BK15" s="22" t="s">
        <v>83</v>
      </c>
      <c r="BL15" s="22" t="n">
        <v>21</v>
      </c>
      <c r="BM15" s="22" t="s">
        <v>86</v>
      </c>
    </row>
    <row r="16" s="22" customFormat="true" ht="15" hidden="false" customHeight="true" outlineLevel="0" collapsed="false">
      <c r="A16" s="21" t="s">
        <v>87</v>
      </c>
      <c r="B16" s="22" t="n">
        <v>97</v>
      </c>
      <c r="C16" s="23" t="n">
        <f aca="false">B16/$P16/10</f>
        <v>0.0379785988637743</v>
      </c>
      <c r="D16" s="22" t="n">
        <v>133</v>
      </c>
      <c r="E16" s="23" t="n">
        <f aca="false">D16/$P16/10</f>
        <v>0.0520737489575462</v>
      </c>
      <c r="F16" s="24" t="n">
        <v>81.3</v>
      </c>
      <c r="G16" s="23" t="n">
        <f aca="false">F16/$P16/10</f>
        <v>0.0318315472951015</v>
      </c>
      <c r="H16" s="24" t="n">
        <v>152</v>
      </c>
      <c r="I16" s="23" t="n">
        <f aca="false">H16/$P16/10</f>
        <v>0.0595128559514814</v>
      </c>
      <c r="J16" s="22" t="n">
        <f aca="false">L16*$J$37/100</f>
        <v>122.4</v>
      </c>
      <c r="K16" s="23" t="n">
        <f aca="false">J16/$P16/10</f>
        <v>0.0479235103188245</v>
      </c>
      <c r="L16" s="22" t="n">
        <v>720</v>
      </c>
      <c r="M16" s="22" t="n">
        <f aca="false">O16*$M$37/100</f>
        <v>394.4</v>
      </c>
      <c r="N16" s="23" t="n">
        <f aca="false">M16/$P16/10</f>
        <v>0.154420199916212</v>
      </c>
      <c r="O16" s="22" t="n">
        <v>2900</v>
      </c>
      <c r="P16" s="25" t="n">
        <v>255.407</v>
      </c>
      <c r="Q16" s="25" t="n">
        <f aca="false">100*P16/$P$36</f>
        <v>1.75421787173461</v>
      </c>
      <c r="R16" s="22" t="n">
        <f aca="false">H16+F16+B16+D16+J16+M16</f>
        <v>980.1</v>
      </c>
      <c r="S16" s="25" t="n">
        <f aca="false">R16/P16</f>
        <v>3.8374046130294</v>
      </c>
      <c r="U16" s="25" t="n">
        <f aca="false">-T16+($Q$45 + $Q$46)*1000*Q16/100</f>
        <v>779.330585914689</v>
      </c>
      <c r="V16" s="25" t="n">
        <f aca="false">U16/P16/10</f>
        <v>0.305132821698187</v>
      </c>
      <c r="W16" s="25" t="n">
        <f aca="false">ROUND(U16/P16 *100/1000, 2)</f>
        <v>0.31</v>
      </c>
      <c r="Y16" s="25" t="n">
        <f aca="false">-Q16*($Q$47)*10</f>
        <v>-421.012289216306</v>
      </c>
      <c r="Z16" s="25" t="n">
        <f aca="false">Y16/P16/10</f>
        <v>-0.16483976132851</v>
      </c>
      <c r="AC16" s="22" t="n">
        <v>281.7</v>
      </c>
      <c r="AH16" s="22" t="s">
        <v>88</v>
      </c>
      <c r="AI16" s="22" t="n">
        <v>0</v>
      </c>
      <c r="AJ16" s="22" t="n">
        <v>72</v>
      </c>
      <c r="AK16" s="22" t="n">
        <f aca="false">AI16+AJ16/100</f>
        <v>0.72</v>
      </c>
      <c r="AL16" s="22" t="n">
        <f aca="false">AK16*1000</f>
        <v>720</v>
      </c>
      <c r="AO16" s="26" t="s">
        <v>87</v>
      </c>
      <c r="AP16" s="22" t="n">
        <v>2</v>
      </c>
      <c r="AQ16" s="22" t="n">
        <v>9</v>
      </c>
      <c r="AR16" s="26" t="n">
        <f aca="false">AP16+AQ16/10</f>
        <v>2.9</v>
      </c>
      <c r="AS16" s="26" t="n">
        <f aca="false">1000*AR16</f>
        <v>2900</v>
      </c>
      <c r="AU16" s="26" t="s">
        <v>88</v>
      </c>
      <c r="AV16" s="22" t="n">
        <v>0.72</v>
      </c>
      <c r="AW16" s="22" t="n">
        <v>1.59</v>
      </c>
      <c r="AX16" s="22" t="n">
        <v>1.6</v>
      </c>
      <c r="AY16" s="22" t="n">
        <v>1</v>
      </c>
      <c r="AZ16" s="22" t="n">
        <v>1.36</v>
      </c>
      <c r="BA16" s="26" t="s">
        <v>89</v>
      </c>
      <c r="BC16" s="26" t="n">
        <f aca="false">AV16*1000</f>
        <v>720</v>
      </c>
      <c r="BE16" s="22" t="s">
        <v>90</v>
      </c>
      <c r="BF16" s="22" t="n">
        <v>60</v>
      </c>
      <c r="BG16" s="22" t="n">
        <v>71</v>
      </c>
      <c r="BH16" s="22" t="s">
        <v>50</v>
      </c>
      <c r="BI16" s="22" t="n">
        <v>97</v>
      </c>
      <c r="BK16" s="22" t="s">
        <v>88</v>
      </c>
      <c r="BL16" s="22" t="n">
        <v>133</v>
      </c>
      <c r="BM16" s="22" t="s">
        <v>91</v>
      </c>
    </row>
    <row r="17" s="22" customFormat="true" ht="15" hidden="false" customHeight="true" outlineLevel="0" collapsed="false">
      <c r="A17" s="27" t="s">
        <v>92</v>
      </c>
      <c r="B17" s="22" t="n">
        <v>1084</v>
      </c>
      <c r="C17" s="23" t="n">
        <f aca="false">B17/$P17/10</f>
        <v>0.0421022541018626</v>
      </c>
      <c r="D17" s="22" t="n">
        <v>1691</v>
      </c>
      <c r="E17" s="23" t="n">
        <f aca="false">D17/$P17/10</f>
        <v>0.0656779628101934</v>
      </c>
      <c r="F17" s="28" t="n">
        <v>3100</v>
      </c>
      <c r="G17" s="23" t="n">
        <f aca="false">F17/$P17/10</f>
        <v>0.120403125199054</v>
      </c>
      <c r="H17" s="28" t="n">
        <v>6670</v>
      </c>
      <c r="I17" s="23" t="n">
        <f aca="false">H17/$P17/10</f>
        <v>0.259060917766996</v>
      </c>
      <c r="J17" s="22" t="n">
        <f aca="false">L17*$J$37/100</f>
        <v>914.6</v>
      </c>
      <c r="K17" s="23" t="n">
        <f aca="false">J17/$P17/10</f>
        <v>0.0355228059055014</v>
      </c>
      <c r="L17" s="22" t="n">
        <v>5380</v>
      </c>
      <c r="M17" s="22" t="n">
        <f aca="false">O17*$M$37/100</f>
        <v>8432</v>
      </c>
      <c r="N17" s="23" t="n">
        <f aca="false">M17/$P17/10</f>
        <v>0.327496500541426</v>
      </c>
      <c r="O17" s="22" t="n">
        <v>62000</v>
      </c>
      <c r="P17" s="25" t="n">
        <v>2574.684</v>
      </c>
      <c r="Q17" s="25" t="n">
        <f aca="false">100*P17/$P$36</f>
        <v>17.6837623356805</v>
      </c>
      <c r="R17" s="22" t="n">
        <f aca="false">H17+F17+B17+D17+J17+M17</f>
        <v>21891.6</v>
      </c>
      <c r="S17" s="25" t="n">
        <f aca="false">R17/P17</f>
        <v>8.50263566325032</v>
      </c>
      <c r="T17" s="22" t="n">
        <f aca="false">B17+F17</f>
        <v>4184</v>
      </c>
      <c r="U17" s="25" t="n">
        <f aca="false">-T17+($Q$45 + $Q$46)*1000*Q17/100</f>
        <v>3672.20593901176</v>
      </c>
      <c r="V17" s="25" t="n">
        <f aca="false">U17/P17/10</f>
        <v>0.142627442397271</v>
      </c>
      <c r="W17" s="25" t="n">
        <f aca="false">ROUND(U17/P17 *100/1000, 2)</f>
        <v>0.14</v>
      </c>
      <c r="Y17" s="25" t="n">
        <f aca="false">-Q17*($Q$47)*10</f>
        <v>-4244.10296056332</v>
      </c>
      <c r="Z17" s="25" t="n">
        <f aca="false">Y17/P17/10</f>
        <v>-0.16483976132851</v>
      </c>
      <c r="AC17" s="22" t="n">
        <v>2991.1</v>
      </c>
      <c r="AH17" s="22" t="s">
        <v>93</v>
      </c>
      <c r="AI17" s="22" t="n">
        <v>5</v>
      </c>
      <c r="AJ17" s="22" t="n">
        <v>38</v>
      </c>
      <c r="AK17" s="22" t="n">
        <f aca="false">AI17+AJ17/100</f>
        <v>5.38</v>
      </c>
      <c r="AL17" s="22" t="n">
        <f aca="false">AK17*1000</f>
        <v>5380</v>
      </c>
      <c r="AO17" s="26" t="s">
        <v>94</v>
      </c>
      <c r="AP17" s="22" t="n">
        <v>62</v>
      </c>
      <c r="AQ17" s="22" t="n">
        <v>0</v>
      </c>
      <c r="AR17" s="26" t="n">
        <f aca="false">AP17+AQ17/10</f>
        <v>62</v>
      </c>
      <c r="AS17" s="26" t="n">
        <f aca="false">1000*AR17</f>
        <v>62000</v>
      </c>
      <c r="AU17" s="26" t="s">
        <v>93</v>
      </c>
      <c r="AV17" s="22" t="n">
        <v>5.38</v>
      </c>
      <c r="AW17" s="22" t="n">
        <v>11.96</v>
      </c>
      <c r="AX17" s="22" t="n">
        <v>16.61</v>
      </c>
      <c r="AY17" s="22" t="n">
        <v>0.72</v>
      </c>
      <c r="AZ17" s="22" t="n">
        <v>0.98</v>
      </c>
      <c r="BA17" s="26" t="s">
        <v>95</v>
      </c>
      <c r="BC17" s="26" t="n">
        <f aca="false">AV17*1000</f>
        <v>5380</v>
      </c>
      <c r="BE17" s="22" t="s">
        <v>96</v>
      </c>
      <c r="BF17" s="22" t="s">
        <v>97</v>
      </c>
      <c r="BG17" s="22" t="n">
        <v>797</v>
      </c>
      <c r="BH17" s="22" t="n">
        <v>756</v>
      </c>
      <c r="BI17" s="22" t="n">
        <v>1084</v>
      </c>
      <c r="BK17" s="22" t="s">
        <v>93</v>
      </c>
      <c r="BL17" s="22" t="n">
        <v>1691</v>
      </c>
      <c r="BM17" s="22" t="s">
        <v>98</v>
      </c>
    </row>
    <row r="18" s="22" customFormat="true" ht="15" hidden="false" customHeight="true" outlineLevel="0" collapsed="false">
      <c r="A18" s="21" t="s">
        <v>99</v>
      </c>
      <c r="B18" s="22" t="n">
        <v>978</v>
      </c>
      <c r="C18" s="23" t="n">
        <f aca="false">B18/$P18/10</f>
        <v>0.0262233683997149</v>
      </c>
      <c r="D18" s="22" t="n">
        <v>2700</v>
      </c>
      <c r="E18" s="23" t="n">
        <f aca="false">D18/$P18/10</f>
        <v>0.0723958023305013</v>
      </c>
      <c r="F18" s="24" t="n">
        <v>1595.2</v>
      </c>
      <c r="G18" s="23" t="n">
        <f aca="false">F18/$P18/10</f>
        <v>0.0427725125472651</v>
      </c>
      <c r="H18" s="24" t="n">
        <v>8344</v>
      </c>
      <c r="I18" s="23" t="n">
        <f aca="false">H18/$P18/10</f>
        <v>0.223729842461371</v>
      </c>
      <c r="J18" s="22" t="n">
        <f aca="false">L18*$J$37/100</f>
        <v>1026.8</v>
      </c>
      <c r="K18" s="23" t="n">
        <f aca="false">J18/$P18/10</f>
        <v>0.0275318554936884</v>
      </c>
      <c r="L18" s="22" t="n">
        <v>6040</v>
      </c>
      <c r="M18" s="22" t="n">
        <f aca="false">O18*$M$37/100</f>
        <v>7847.2</v>
      </c>
      <c r="N18" s="23" t="n">
        <f aca="false">M18/$P18/10</f>
        <v>0.210409014832559</v>
      </c>
      <c r="O18" s="22" t="n">
        <v>57700</v>
      </c>
      <c r="P18" s="25" t="n">
        <v>3729.498</v>
      </c>
      <c r="Q18" s="25" t="n">
        <f aca="false">100*P18/$P$36</f>
        <v>25.6153983414647</v>
      </c>
      <c r="R18" s="22" t="n">
        <f aca="false">H18+F18+B18+D18+J18+M18</f>
        <v>22491.2</v>
      </c>
      <c r="S18" s="25" t="n">
        <f aca="false">R18/P18</f>
        <v>6.030623960651</v>
      </c>
      <c r="U18" s="25" t="n">
        <f aca="false">-T18+($Q$45 + $Q$46)*1000*Q18/100</f>
        <v>11379.9224825775</v>
      </c>
      <c r="V18" s="25" t="n">
        <f aca="false">U18/P18/10</f>
        <v>0.305132821698187</v>
      </c>
      <c r="W18" s="25" t="n">
        <f aca="false">ROUND(U18/P18 *100/1000, 2)</f>
        <v>0.31</v>
      </c>
      <c r="Y18" s="25" t="n">
        <f aca="false">-Q18*($Q$47)*10</f>
        <v>-6147.69560195154</v>
      </c>
      <c r="Z18" s="25" t="n">
        <f aca="false">Y18/P18/10</f>
        <v>-0.16483976132851</v>
      </c>
      <c r="AC18" s="22" t="n">
        <v>4529.7</v>
      </c>
      <c r="AH18" s="22" t="s">
        <v>100</v>
      </c>
      <c r="AI18" s="22" t="n">
        <v>6</v>
      </c>
      <c r="AJ18" s="22" t="n">
        <v>40</v>
      </c>
      <c r="AK18" s="22" t="n">
        <f aca="false">AI18+AJ18/100</f>
        <v>6.4</v>
      </c>
      <c r="AL18" s="22" t="n">
        <f aca="false">AK18*1000</f>
        <v>6400</v>
      </c>
      <c r="AO18" s="26" t="s">
        <v>101</v>
      </c>
      <c r="AP18" s="22" t="n">
        <v>57</v>
      </c>
      <c r="AQ18" s="22" t="n">
        <v>7</v>
      </c>
      <c r="AR18" s="26" t="n">
        <f aca="false">AP18+AQ18/10</f>
        <v>57.7</v>
      </c>
      <c r="AS18" s="26" t="n">
        <f aca="false">1000*AR18</f>
        <v>57700</v>
      </c>
      <c r="AU18" s="26" t="s">
        <v>100</v>
      </c>
      <c r="AV18" s="22" t="n">
        <v>6.04</v>
      </c>
      <c r="AW18" s="22" t="n">
        <v>13.43</v>
      </c>
      <c r="AX18" s="22" t="n">
        <v>24.81</v>
      </c>
      <c r="AY18" s="22" t="n">
        <v>0.54</v>
      </c>
      <c r="AZ18" s="22" t="n">
        <v>0.73</v>
      </c>
      <c r="BA18" s="26" t="s">
        <v>102</v>
      </c>
      <c r="BC18" s="26" t="n">
        <f aca="false">AV18*1000</f>
        <v>6040</v>
      </c>
      <c r="BE18" s="22" t="s">
        <v>103</v>
      </c>
      <c r="BF18" s="22" t="s">
        <v>104</v>
      </c>
      <c r="BG18" s="22" t="n">
        <v>719</v>
      </c>
      <c r="BH18" s="22" t="s">
        <v>50</v>
      </c>
      <c r="BI18" s="22" t="n">
        <v>978</v>
      </c>
      <c r="BK18" s="22" t="s">
        <v>100</v>
      </c>
      <c r="BL18" s="22" t="n">
        <v>2700</v>
      </c>
      <c r="BM18" s="22" t="s">
        <v>105</v>
      </c>
    </row>
    <row r="19" s="22" customFormat="true" ht="15" hidden="false" customHeight="true" outlineLevel="0" collapsed="false">
      <c r="A19" s="27" t="s">
        <v>106</v>
      </c>
      <c r="B19" s="22" t="n">
        <v>91</v>
      </c>
      <c r="C19" s="23" t="n">
        <f aca="false">B19/$P19/10</f>
        <v>0.0503093193867792</v>
      </c>
      <c r="D19" s="22" t="n">
        <v>54</v>
      </c>
      <c r="E19" s="23" t="n">
        <f aca="false">D19/$P19/10</f>
        <v>0.0298538818339129</v>
      </c>
      <c r="F19" s="28" t="n">
        <v>22.7</v>
      </c>
      <c r="G19" s="23" t="n">
        <f aca="false">F19/$P19/10</f>
        <v>0.0125496873635152</v>
      </c>
      <c r="H19" s="28" t="n">
        <v>118</v>
      </c>
      <c r="I19" s="23" t="n">
        <f aca="false">H19/$P19/10</f>
        <v>0.0652362603037356</v>
      </c>
      <c r="J19" s="22" t="n">
        <f aca="false">L19*$J$37/100</f>
        <v>431.8</v>
      </c>
      <c r="K19" s="23" t="n">
        <f aca="false">J19/$P19/10</f>
        <v>0.238720484738585</v>
      </c>
      <c r="L19" s="22" t="n">
        <v>2540</v>
      </c>
      <c r="M19" s="22" t="n">
        <f aca="false">O19*$M$37/100</f>
        <v>856.8</v>
      </c>
      <c r="N19" s="23" t="n">
        <f aca="false">M19/$P19/10</f>
        <v>0.473681591764751</v>
      </c>
      <c r="O19" s="22" t="n">
        <v>6300</v>
      </c>
      <c r="P19" s="25" t="n">
        <v>180.881</v>
      </c>
      <c r="Q19" s="25" t="n">
        <f aca="false">100*P19/$P$36</f>
        <v>1.24234920286926</v>
      </c>
      <c r="R19" s="22" t="n">
        <f aca="false">H19+F19+B19+D19+J19+M19</f>
        <v>1574.3</v>
      </c>
      <c r="S19" s="25" t="n">
        <f aca="false">R19/P19</f>
        <v>8.70351225391279</v>
      </c>
      <c r="T19" s="29" t="n">
        <f aca="false">F19</f>
        <v>22.7</v>
      </c>
      <c r="U19" s="25" t="n">
        <f aca="false">-T19+($Q$45 + $Q$46)*1000*Q19/100</f>
        <v>529.227299215898</v>
      </c>
      <c r="V19" s="25" t="n">
        <f aca="false">U19/P19/10</f>
        <v>0.292583134334672</v>
      </c>
      <c r="W19" s="25" t="n">
        <f aca="false">ROUND(U19/P19 *100/1000, 2)</f>
        <v>0.29</v>
      </c>
      <c r="Y19" s="25" t="n">
        <f aca="false">-Q19*($Q$47)*10</f>
        <v>-298.163808688621</v>
      </c>
      <c r="Z19" s="25" t="n">
        <f aca="false">Y19/P19/10</f>
        <v>-0.16483976132851</v>
      </c>
      <c r="AC19" s="22" t="n">
        <v>248.4</v>
      </c>
      <c r="AH19" s="22" t="s">
        <v>107</v>
      </c>
      <c r="AI19" s="22" t="n">
        <v>2</v>
      </c>
      <c r="AJ19" s="22" t="n">
        <v>54</v>
      </c>
      <c r="AK19" s="22" t="n">
        <f aca="false">AI19+AJ19/100</f>
        <v>2.54</v>
      </c>
      <c r="AL19" s="22" t="n">
        <f aca="false">AK19*1000</f>
        <v>2540</v>
      </c>
      <c r="AO19" s="26" t="s">
        <v>108</v>
      </c>
      <c r="AP19" s="22" t="n">
        <v>6</v>
      </c>
      <c r="AQ19" s="22" t="n">
        <v>3</v>
      </c>
      <c r="AR19" s="26" t="n">
        <f aca="false">AP19+AQ19/10</f>
        <v>6.3</v>
      </c>
      <c r="AS19" s="26" t="n">
        <f aca="false">1000*AR19</f>
        <v>6300</v>
      </c>
      <c r="AU19" s="26" t="s">
        <v>107</v>
      </c>
      <c r="AV19" s="22" t="n">
        <v>2.54</v>
      </c>
      <c r="AW19" s="22" t="n">
        <v>5.64</v>
      </c>
      <c r="AX19" s="22" t="n">
        <v>1.3</v>
      </c>
      <c r="AY19" s="22" t="n">
        <v>4.34</v>
      </c>
      <c r="AZ19" s="22" t="n">
        <v>5.88</v>
      </c>
      <c r="BA19" s="26" t="s">
        <v>109</v>
      </c>
      <c r="BC19" s="26" t="n">
        <f aca="false">AV19*1000</f>
        <v>2540</v>
      </c>
      <c r="BE19" s="22" t="s">
        <v>110</v>
      </c>
      <c r="BF19" s="22" t="n">
        <v>25</v>
      </c>
      <c r="BG19" s="22" t="n">
        <v>67</v>
      </c>
      <c r="BH19" s="22" t="s">
        <v>50</v>
      </c>
      <c r="BI19" s="22" t="n">
        <v>91</v>
      </c>
      <c r="BK19" s="22" t="s">
        <v>107</v>
      </c>
      <c r="BL19" s="22" t="n">
        <v>54</v>
      </c>
      <c r="BM19" s="22" t="s">
        <v>111</v>
      </c>
    </row>
    <row r="20" s="22" customFormat="true" ht="15" hidden="false" customHeight="true" outlineLevel="0" collapsed="false">
      <c r="A20" s="21" t="s">
        <v>112</v>
      </c>
      <c r="B20" s="22" t="n">
        <v>140</v>
      </c>
      <c r="C20" s="23" t="n">
        <f aca="false">B20/$P20/10</f>
        <v>0.0940076817705675</v>
      </c>
      <c r="D20" s="22" t="n">
        <v>113</v>
      </c>
      <c r="E20" s="23" t="n">
        <f aca="false">D20/$P20/10</f>
        <v>0.0758776288576724</v>
      </c>
      <c r="F20" s="24" t="n">
        <v>5.9</v>
      </c>
      <c r="G20" s="23" t="n">
        <f aca="false">F20/$P20/10</f>
        <v>0.0039617523031882</v>
      </c>
      <c r="H20" s="24" t="n">
        <v>208</v>
      </c>
      <c r="I20" s="23" t="n">
        <f aca="false">H20/$P20/10</f>
        <v>0.139668555773415</v>
      </c>
      <c r="J20" s="22" t="n">
        <f aca="false">L20*$J$37/100</f>
        <v>62.9</v>
      </c>
      <c r="K20" s="23" t="n">
        <f aca="false">J20/$P20/10</f>
        <v>0.0422363084526336</v>
      </c>
      <c r="L20" s="22" t="n">
        <v>370</v>
      </c>
      <c r="M20" s="22" t="n">
        <f aca="false">O20*$M$37/100</f>
        <v>340</v>
      </c>
      <c r="N20" s="23" t="n">
        <f aca="false">M20/$P20/10</f>
        <v>0.228304370014235</v>
      </c>
      <c r="O20" s="22" t="n">
        <v>2500</v>
      </c>
      <c r="P20" s="25" t="n">
        <v>148.924</v>
      </c>
      <c r="Q20" s="25" t="n">
        <f aca="false">100*P20/$P$36</f>
        <v>1.02285819233696</v>
      </c>
      <c r="R20" s="22" t="n">
        <f aca="false">H20+F20+B20+D20+J20+M20</f>
        <v>869.8</v>
      </c>
      <c r="S20" s="25" t="n">
        <f aca="false">R20/P20</f>
        <v>5.84056297171712</v>
      </c>
      <c r="U20" s="25" t="n">
        <f aca="false">-T20+($Q$45 + $Q$46)*1000*Q20/100</f>
        <v>454.416003385809</v>
      </c>
      <c r="V20" s="25" t="n">
        <f aca="false">U20/P20/10</f>
        <v>0.305132821698187</v>
      </c>
      <c r="W20" s="25" t="n">
        <f aca="false">ROUND(U20/P20 *100/1000, 2)</f>
        <v>0.31</v>
      </c>
      <c r="Y20" s="25" t="n">
        <f aca="false">-Q20*($Q$47)*10</f>
        <v>-245.48596616087</v>
      </c>
      <c r="Z20" s="25" t="n">
        <f aca="false">Y20/P20/10</f>
        <v>-0.16483976132851</v>
      </c>
      <c r="AC20" s="22" t="n">
        <v>218.8</v>
      </c>
      <c r="AH20" s="22" t="s">
        <v>113</v>
      </c>
      <c r="AI20" s="22" t="n">
        <v>0</v>
      </c>
      <c r="AJ20" s="22" t="n">
        <v>37</v>
      </c>
      <c r="AK20" s="22" t="n">
        <f aca="false">AI20+AJ20/100</f>
        <v>0.37</v>
      </c>
      <c r="AL20" s="22" t="n">
        <f aca="false">AK20*1000</f>
        <v>370</v>
      </c>
      <c r="AO20" s="26" t="s">
        <v>112</v>
      </c>
      <c r="AP20" s="22" t="n">
        <v>2</v>
      </c>
      <c r="AQ20" s="22" t="n">
        <v>5</v>
      </c>
      <c r="AR20" s="26" t="n">
        <f aca="false">AP20+AQ20/10</f>
        <v>2.5</v>
      </c>
      <c r="AS20" s="26" t="n">
        <f aca="false">1000*AR20</f>
        <v>2500</v>
      </c>
      <c r="AU20" s="26" t="s">
        <v>113</v>
      </c>
      <c r="AV20" s="22" t="n">
        <v>0.37</v>
      </c>
      <c r="AW20" s="22" t="n">
        <v>0.82</v>
      </c>
      <c r="AX20" s="22" t="n">
        <v>1.18</v>
      </c>
      <c r="AY20" s="22" t="n">
        <v>0.7</v>
      </c>
      <c r="AZ20" s="22" t="n">
        <v>0.95</v>
      </c>
      <c r="BA20" s="26" t="s">
        <v>114</v>
      </c>
      <c r="BC20" s="26" t="n">
        <f aca="false">AV20*1000</f>
        <v>370</v>
      </c>
      <c r="BE20" s="22" t="s">
        <v>115</v>
      </c>
      <c r="BF20" s="22" t="n">
        <v>51</v>
      </c>
      <c r="BG20" s="22" t="n">
        <v>103</v>
      </c>
      <c r="BH20" s="22" t="s">
        <v>50</v>
      </c>
      <c r="BI20" s="22" t="n">
        <v>140</v>
      </c>
      <c r="BK20" s="22" t="s">
        <v>113</v>
      </c>
      <c r="BL20" s="22" t="n">
        <v>113</v>
      </c>
      <c r="BM20" s="22" t="s">
        <v>116</v>
      </c>
    </row>
    <row r="21" s="22" customFormat="true" ht="15" hidden="false" customHeight="true" outlineLevel="0" collapsed="false">
      <c r="A21" s="27" t="s">
        <v>117</v>
      </c>
      <c r="B21" s="22" t="n">
        <v>97</v>
      </c>
      <c r="C21" s="23" t="n">
        <f aca="false">B21/$P21/10</f>
        <v>0.0299863052234907</v>
      </c>
      <c r="D21" s="22" t="n">
        <v>160</v>
      </c>
      <c r="E21" s="23" t="n">
        <f aca="false">D21/$P21/10</f>
        <v>0.0494619467603971</v>
      </c>
      <c r="F21" s="28" t="n">
        <v>241.4</v>
      </c>
      <c r="G21" s="23" t="n">
        <f aca="false">F21/$P21/10</f>
        <v>0.0746257121747491</v>
      </c>
      <c r="H21" s="28" t="n">
        <v>331</v>
      </c>
      <c r="I21" s="23" t="n">
        <f aca="false">H21/$P21/10</f>
        <v>0.102324402360571</v>
      </c>
      <c r="J21" s="22" t="n">
        <f aca="false">L21*$J$37/100</f>
        <v>159.8</v>
      </c>
      <c r="K21" s="23" t="n">
        <f aca="false">J21/$P21/10</f>
        <v>0.0494001193269466</v>
      </c>
      <c r="L21" s="22" t="n">
        <v>940</v>
      </c>
      <c r="M21" s="22" t="n">
        <f aca="false">O21*$M$37/100</f>
        <v>516.8</v>
      </c>
      <c r="N21" s="23" t="n">
        <f aca="false">M21/$P21/10</f>
        <v>0.159762088036082</v>
      </c>
      <c r="O21" s="22" t="n">
        <v>3800</v>
      </c>
      <c r="P21" s="25" t="n">
        <v>323.481</v>
      </c>
      <c r="Q21" s="25" t="n">
        <f aca="false">100*P21/$P$36</f>
        <v>2.22177211809615</v>
      </c>
      <c r="R21" s="22" t="n">
        <f aca="false">H21+F21+B21+D21+J21+M21</f>
        <v>1506</v>
      </c>
      <c r="S21" s="25" t="n">
        <f aca="false">R21/P21</f>
        <v>4.65560573882237</v>
      </c>
      <c r="T21" s="29" t="n">
        <f aca="false">F21</f>
        <v>241.4</v>
      </c>
      <c r="U21" s="25" t="n">
        <f aca="false">-T21+($Q$45 + $Q$46)*1000*Q21/100</f>
        <v>745.646702957514</v>
      </c>
      <c r="V21" s="25" t="n">
        <f aca="false">U21/P21/10</f>
        <v>0.230507109523438</v>
      </c>
      <c r="W21" s="25" t="n">
        <f aca="false">ROUND(U21/P21 *100/1000, 2)</f>
        <v>0.23</v>
      </c>
      <c r="Y21" s="25" t="n">
        <f aca="false">-Q21*($Q$47)*10</f>
        <v>-533.225308343076</v>
      </c>
      <c r="Z21" s="25" t="n">
        <f aca="false">Y21/P21/10</f>
        <v>-0.16483976132851</v>
      </c>
      <c r="AC21" s="22" t="n">
        <v>602.4</v>
      </c>
      <c r="AH21" s="22" t="s">
        <v>118</v>
      </c>
      <c r="AI21" s="22" t="n">
        <v>0</v>
      </c>
      <c r="AJ21" s="22" t="n">
        <v>94</v>
      </c>
      <c r="AK21" s="22" t="n">
        <f aca="false">AI21+AJ21/100</f>
        <v>0.94</v>
      </c>
      <c r="AL21" s="22" t="n">
        <f aca="false">AK21*1000</f>
        <v>940</v>
      </c>
      <c r="AO21" s="26" t="s">
        <v>119</v>
      </c>
      <c r="AP21" s="22" t="n">
        <v>3</v>
      </c>
      <c r="AQ21" s="22" t="n">
        <v>8</v>
      </c>
      <c r="AR21" s="26" t="n">
        <f aca="false">AP21+AQ21/10</f>
        <v>3.8</v>
      </c>
      <c r="AS21" s="26" t="n">
        <f aca="false">1000*AR21</f>
        <v>3800</v>
      </c>
      <c r="AT21" s="26" t="s">
        <v>120</v>
      </c>
      <c r="AU21" s="26" t="s">
        <v>118</v>
      </c>
      <c r="AV21" s="22" t="n">
        <v>0.94</v>
      </c>
      <c r="AW21" s="22" t="n">
        <v>2.1</v>
      </c>
      <c r="AX21" s="22" t="n">
        <v>2.33</v>
      </c>
      <c r="AY21" s="22" t="n">
        <v>0.9</v>
      </c>
      <c r="AZ21" s="22" t="n">
        <v>1.22</v>
      </c>
      <c r="BA21" s="26" t="s">
        <v>121</v>
      </c>
      <c r="BC21" s="26" t="n">
        <f aca="false">AV21*1000</f>
        <v>940</v>
      </c>
      <c r="BE21" s="22" t="s">
        <v>122</v>
      </c>
      <c r="BF21" s="22" t="n">
        <v>72</v>
      </c>
      <c r="BG21" s="22" t="n">
        <v>71</v>
      </c>
      <c r="BH21" s="22" t="s">
        <v>50</v>
      </c>
      <c r="BI21" s="22" t="n">
        <v>97</v>
      </c>
      <c r="BK21" s="22" t="s">
        <v>118</v>
      </c>
      <c r="BL21" s="22" t="n">
        <v>160</v>
      </c>
      <c r="BM21" s="22" t="s">
        <v>123</v>
      </c>
    </row>
    <row r="22" s="22" customFormat="true" ht="15" hidden="false" customHeight="true" outlineLevel="0" collapsed="false">
      <c r="A22" s="21" t="s">
        <v>124</v>
      </c>
      <c r="B22" s="22" t="n">
        <v>467</v>
      </c>
      <c r="C22" s="23" t="n">
        <f aca="false">B22/$P22/10</f>
        <v>0.0257444955291679</v>
      </c>
      <c r="D22" s="22" t="n">
        <v>891</v>
      </c>
      <c r="E22" s="23" t="n">
        <f aca="false">D22/$P22/10</f>
        <v>0.0491185128832733</v>
      </c>
      <c r="F22" s="24" t="n">
        <v>544.5</v>
      </c>
      <c r="G22" s="23" t="n">
        <f aca="false">F22/$P22/10</f>
        <v>0.0300168689842225</v>
      </c>
      <c r="H22" s="24" t="n">
        <v>2618</v>
      </c>
      <c r="I22" s="23" t="n">
        <f aca="false">H22/$P22/10</f>
        <v>0.144323531681716</v>
      </c>
      <c r="J22" s="22" t="n">
        <f aca="false">L22*$J$37/100</f>
        <v>1208.7</v>
      </c>
      <c r="K22" s="23" t="n">
        <f aca="false">J22/$P22/10</f>
        <v>0.0666324876790262</v>
      </c>
      <c r="L22" s="22" t="n">
        <v>7110</v>
      </c>
      <c r="M22" s="22" t="n">
        <f aca="false">O22*$M$37/100</f>
        <v>7684</v>
      </c>
      <c r="N22" s="23" t="n">
        <f aca="false">M22/$P22/10</f>
        <v>0.423598937143739</v>
      </c>
      <c r="O22" s="22" t="n">
        <v>56500</v>
      </c>
      <c r="P22" s="25" t="n">
        <v>1813.98</v>
      </c>
      <c r="Q22" s="25" t="n">
        <f aca="false">100*P22/$P$36</f>
        <v>12.4590012606121</v>
      </c>
      <c r="R22" s="22" t="n">
        <f aca="false">H22+F22+B22+D22+J22+M22</f>
        <v>13413.2</v>
      </c>
      <c r="S22" s="25" t="n">
        <f aca="false">R22/P22</f>
        <v>7.39434833901146</v>
      </c>
      <c r="T22" s="22" t="n">
        <f aca="false">B22+F22</f>
        <v>1011.5</v>
      </c>
      <c r="U22" s="25" t="n">
        <f aca="false">-T22+($Q$45 + $Q$46)*1000*Q22/100</f>
        <v>4523.54835904078</v>
      </c>
      <c r="V22" s="25" t="n">
        <f aca="false">U22/P22/10</f>
        <v>0.249371457184797</v>
      </c>
      <c r="W22" s="25" t="n">
        <f aca="false">ROUND(U22/P22 *100/1000, 2)</f>
        <v>0.25</v>
      </c>
      <c r="Y22" s="25" t="n">
        <f aca="false">-Q22*($Q$47)*10</f>
        <v>-2990.1603025469</v>
      </c>
      <c r="Z22" s="25" t="n">
        <f aca="false">Y22/P22/10</f>
        <v>-0.16483976132851</v>
      </c>
      <c r="AC22" s="22" t="n">
        <v>2258</v>
      </c>
      <c r="AH22" s="22" t="s">
        <v>125</v>
      </c>
      <c r="AI22" s="22" t="n">
        <v>7</v>
      </c>
      <c r="AJ22" s="22" t="n">
        <v>11</v>
      </c>
      <c r="AK22" s="22" t="n">
        <f aca="false">AI22+AJ22/100</f>
        <v>7.11</v>
      </c>
      <c r="AL22" s="22" t="n">
        <f aca="false">AK22*1000</f>
        <v>7110</v>
      </c>
      <c r="AO22" s="26" t="s">
        <v>126</v>
      </c>
      <c r="AP22" s="22" t="n">
        <v>56</v>
      </c>
      <c r="AQ22" s="22" t="n">
        <v>5</v>
      </c>
      <c r="AR22" s="26" t="n">
        <f aca="false">AP22+AQ22/10</f>
        <v>56.5</v>
      </c>
      <c r="AS22" s="26" t="n">
        <f aca="false">1000*AR22</f>
        <v>56500</v>
      </c>
      <c r="AU22" s="26" t="s">
        <v>125</v>
      </c>
      <c r="AV22" s="22" t="n">
        <v>7.11</v>
      </c>
      <c r="AW22" s="22" t="n">
        <v>15.81</v>
      </c>
      <c r="AX22" s="22" t="n">
        <v>12.06</v>
      </c>
      <c r="AY22" s="22" t="n">
        <v>1.31</v>
      </c>
      <c r="AZ22" s="22" t="n">
        <v>1.78</v>
      </c>
      <c r="BA22" s="26" t="s">
        <v>127</v>
      </c>
      <c r="BC22" s="26" t="n">
        <f aca="false">AV22*1000</f>
        <v>7110</v>
      </c>
      <c r="BE22" s="22" t="s">
        <v>128</v>
      </c>
      <c r="BF22" s="22" t="n">
        <v>400</v>
      </c>
      <c r="BG22" s="22" t="n">
        <v>343</v>
      </c>
      <c r="BH22" s="22" t="s">
        <v>129</v>
      </c>
      <c r="BI22" s="22" t="n">
        <v>467</v>
      </c>
      <c r="BK22" s="22" t="s">
        <v>125</v>
      </c>
      <c r="BL22" s="22" t="n">
        <v>891</v>
      </c>
      <c r="BM22" s="22" t="s">
        <v>130</v>
      </c>
    </row>
    <row r="23" s="22" customFormat="true" ht="15" hidden="false" customHeight="true" outlineLevel="0" collapsed="false">
      <c r="A23" s="27" t="s">
        <v>131</v>
      </c>
      <c r="B23" s="22" t="n">
        <v>27</v>
      </c>
      <c r="C23" s="23" t="n">
        <f aca="false">B23/$P23/10</f>
        <v>0.0816326530612245</v>
      </c>
      <c r="D23" s="22" t="n">
        <v>20</v>
      </c>
      <c r="E23" s="23" t="n">
        <f aca="false">D23/$P23/10</f>
        <v>0.0604686318972033</v>
      </c>
      <c r="F23" s="28" t="n">
        <v>0</v>
      </c>
      <c r="G23" s="23" t="n">
        <f aca="false">F23/$P23/10</f>
        <v>0</v>
      </c>
      <c r="H23" s="28" t="n">
        <v>20</v>
      </c>
      <c r="I23" s="23" t="n">
        <f aca="false">H23/$P23/10</f>
        <v>0.0604686318972033</v>
      </c>
      <c r="J23" s="22" t="n">
        <f aca="false">L23*$J$37/100</f>
        <v>30.6</v>
      </c>
      <c r="K23" s="23" t="n">
        <f aca="false">J23/$P23/10</f>
        <v>0.0925170068027211</v>
      </c>
      <c r="L23" s="22" t="n">
        <v>180</v>
      </c>
      <c r="M23" s="22" t="n">
        <f aca="false">O23*$M$37/100</f>
        <v>68</v>
      </c>
      <c r="N23" s="23" t="n">
        <f aca="false">M23/$P23/10</f>
        <v>0.205593348450491</v>
      </c>
      <c r="O23" s="22" t="n">
        <v>500</v>
      </c>
      <c r="P23" s="25" t="n">
        <v>33.075</v>
      </c>
      <c r="Q23" s="25" t="n">
        <f aca="false">100*P23/$P$36</f>
        <v>0.227169796080852</v>
      </c>
      <c r="R23" s="22" t="n">
        <f aca="false">H23+F23+B23+D23+J23+M23</f>
        <v>165.6</v>
      </c>
      <c r="S23" s="25" t="n">
        <f aca="false">R23/P23</f>
        <v>5.00680272108844</v>
      </c>
      <c r="U23" s="25" t="n">
        <f aca="false">-T23+($Q$45 + $Q$46)*1000*Q23/100</f>
        <v>100.922680776675</v>
      </c>
      <c r="V23" s="25" t="n">
        <f aca="false">U23/P23/10</f>
        <v>0.305132821698187</v>
      </c>
      <c r="W23" s="25" t="n">
        <f aca="false">ROUND(U23/P23 *100/1000, 2)</f>
        <v>0.31</v>
      </c>
      <c r="Y23" s="25" t="n">
        <f aca="false">-Q23*($Q$47)*10</f>
        <v>-54.5207510594045</v>
      </c>
      <c r="Z23" s="25" t="n">
        <f aca="false">Y23/P23/10</f>
        <v>-0.16483976132851</v>
      </c>
      <c r="AC23" s="22" t="n">
        <v>43</v>
      </c>
      <c r="AH23" s="22" t="s">
        <v>132</v>
      </c>
      <c r="AI23" s="22" t="n">
        <v>0</v>
      </c>
      <c r="AJ23" s="22" t="n">
        <v>18</v>
      </c>
      <c r="AK23" s="22" t="n">
        <f aca="false">AI23+AJ23/100</f>
        <v>0.18</v>
      </c>
      <c r="AL23" s="22" t="n">
        <f aca="false">AK23*1000</f>
        <v>180</v>
      </c>
      <c r="AO23" s="26" t="s">
        <v>131</v>
      </c>
      <c r="AP23" s="22" t="n">
        <v>0</v>
      </c>
      <c r="AQ23" s="22" t="n">
        <v>5</v>
      </c>
      <c r="AR23" s="26" t="n">
        <f aca="false">AP23+AQ23/10</f>
        <v>0.5</v>
      </c>
      <c r="AS23" s="26" t="n">
        <f aca="false">1000*AR23</f>
        <v>500</v>
      </c>
      <c r="AU23" s="26" t="s">
        <v>132</v>
      </c>
      <c r="AV23" s="22" t="n">
        <v>0.18</v>
      </c>
      <c r="AW23" s="22" t="n">
        <v>0.4</v>
      </c>
      <c r="AX23" s="22" t="n">
        <v>0.24</v>
      </c>
      <c r="AY23" s="22" t="n">
        <v>1.67</v>
      </c>
      <c r="AZ23" s="22" t="n">
        <v>2.26</v>
      </c>
      <c r="BA23" s="26" t="s">
        <v>133</v>
      </c>
      <c r="BC23" s="26" t="n">
        <f aca="false">AV23*1000</f>
        <v>180</v>
      </c>
      <c r="BE23" s="22" t="s">
        <v>134</v>
      </c>
      <c r="BF23" s="22" t="n">
        <v>9</v>
      </c>
      <c r="BG23" s="22" t="n">
        <v>20</v>
      </c>
      <c r="BH23" s="22" t="s">
        <v>50</v>
      </c>
      <c r="BI23" s="22" t="n">
        <v>27</v>
      </c>
      <c r="BK23" s="22" t="s">
        <v>132</v>
      </c>
      <c r="BL23" s="22" t="n">
        <v>20</v>
      </c>
      <c r="BM23" s="22" t="s">
        <v>130</v>
      </c>
    </row>
    <row r="24" s="22" customFormat="true" ht="15" hidden="false" customHeight="true" outlineLevel="0" collapsed="false">
      <c r="A24" s="21" t="s">
        <v>135</v>
      </c>
      <c r="B24" s="22" t="n">
        <v>41</v>
      </c>
      <c r="C24" s="23" t="n">
        <f aca="false">B24/$P24/10</f>
        <v>0.0759034360189574</v>
      </c>
      <c r="D24" s="22" t="n">
        <v>24</v>
      </c>
      <c r="E24" s="23" t="n">
        <f aca="false">D24/$P24/10</f>
        <v>0.0444312796208531</v>
      </c>
      <c r="F24" s="24" t="n">
        <v>0.1</v>
      </c>
      <c r="G24" s="23" t="n">
        <f aca="false">F24/$P24/10</f>
        <v>0.000185130331753555</v>
      </c>
      <c r="H24" s="24" t="n">
        <v>31</v>
      </c>
      <c r="I24" s="23" t="n">
        <f aca="false">H24/$P24/10</f>
        <v>0.0573904028436019</v>
      </c>
      <c r="J24" s="22" t="n">
        <f aca="false">L24*$J$37/100</f>
        <v>23.8</v>
      </c>
      <c r="K24" s="23" t="n">
        <f aca="false">J24/$P24/10</f>
        <v>0.044061018957346</v>
      </c>
      <c r="L24" s="22" t="n">
        <v>140</v>
      </c>
      <c r="M24" s="22" t="n">
        <f aca="false">O24*$M$37/100</f>
        <v>108.8</v>
      </c>
      <c r="N24" s="23" t="n">
        <f aca="false">M24/$P24/10</f>
        <v>0.201421800947867</v>
      </c>
      <c r="O24" s="22" t="n">
        <v>800</v>
      </c>
      <c r="P24" s="25" t="n">
        <v>54.016</v>
      </c>
      <c r="Q24" s="25" t="n">
        <f aca="false">100*P24/$P$36</f>
        <v>0.370999356163366</v>
      </c>
      <c r="R24" s="22" t="n">
        <f aca="false">H24+F24+B24+D24+J24+M24</f>
        <v>228.7</v>
      </c>
      <c r="S24" s="25" t="n">
        <f aca="false">R24/P24</f>
        <v>4.23393068720379</v>
      </c>
      <c r="U24" s="25" t="n">
        <f aca="false">-T24+($Q$45 + $Q$46)*1000*Q24/100</f>
        <v>164.820544968493</v>
      </c>
      <c r="V24" s="25" t="n">
        <f aca="false">U24/P24/10</f>
        <v>0.305132821698187</v>
      </c>
      <c r="W24" s="25" t="n">
        <f aca="false">ROUND(U24/P24 *100/1000, 2)</f>
        <v>0.31</v>
      </c>
      <c r="Y24" s="25" t="n">
        <f aca="false">-Q24*($Q$47)*10</f>
        <v>-89.0398454792077</v>
      </c>
      <c r="Z24" s="25" t="n">
        <f aca="false">Y24/P24/10</f>
        <v>-0.16483976132851</v>
      </c>
      <c r="AC24" s="22" t="n">
        <v>84.3</v>
      </c>
      <c r="AH24" s="22" t="s">
        <v>136</v>
      </c>
      <c r="AI24" s="22" t="n">
        <v>0</v>
      </c>
      <c r="AJ24" s="22" t="n">
        <v>14</v>
      </c>
      <c r="AK24" s="22" t="n">
        <f aca="false">AI24+AJ24/100</f>
        <v>0.14</v>
      </c>
      <c r="AL24" s="22" t="n">
        <f aca="false">AK24*1000</f>
        <v>140</v>
      </c>
      <c r="AO24" s="26" t="s">
        <v>135</v>
      </c>
      <c r="AP24" s="22" t="n">
        <v>0</v>
      </c>
      <c r="AQ24" s="22" t="n">
        <v>8</v>
      </c>
      <c r="AR24" s="26" t="n">
        <f aca="false">AP24+AQ24/10</f>
        <v>0.8</v>
      </c>
      <c r="AS24" s="26" t="n">
        <f aca="false">1000*AR24</f>
        <v>800</v>
      </c>
      <c r="AU24" s="26" t="s">
        <v>136</v>
      </c>
      <c r="AV24" s="22" t="n">
        <v>0.14</v>
      </c>
      <c r="AW24" s="22" t="n">
        <v>0.31</v>
      </c>
      <c r="AX24" s="22" t="n">
        <v>0.42</v>
      </c>
      <c r="AY24" s="22" t="n">
        <v>0.74</v>
      </c>
      <c r="AZ24" s="22" t="n">
        <v>1</v>
      </c>
      <c r="BA24" s="26" t="s">
        <v>137</v>
      </c>
      <c r="BC24" s="26" t="n">
        <f aca="false">AV24*1000</f>
        <v>140</v>
      </c>
      <c r="BE24" s="22" t="s">
        <v>138</v>
      </c>
      <c r="BF24" s="22" t="n">
        <v>11</v>
      </c>
      <c r="BG24" s="22" t="n">
        <v>30</v>
      </c>
      <c r="BH24" s="22" t="s">
        <v>50</v>
      </c>
      <c r="BI24" s="22" t="n">
        <v>41</v>
      </c>
      <c r="BK24" s="22" t="s">
        <v>136</v>
      </c>
      <c r="BL24" s="22" t="n">
        <v>24</v>
      </c>
      <c r="BM24" s="22" t="s">
        <v>139</v>
      </c>
    </row>
    <row r="25" s="22" customFormat="true" ht="15" hidden="false" customHeight="true" outlineLevel="0" collapsed="false">
      <c r="A25" s="27" t="s">
        <v>140</v>
      </c>
      <c r="B25" s="22" t="n">
        <v>10</v>
      </c>
      <c r="C25" s="23" t="n">
        <f aca="false">B25/$P25/10</f>
        <v>0.0198137507430157</v>
      </c>
      <c r="D25" s="22" t="n">
        <v>32</v>
      </c>
      <c r="E25" s="23" t="n">
        <f aca="false">D25/$P25/10</f>
        <v>0.0634040023776501</v>
      </c>
      <c r="F25" s="28" t="n">
        <v>0</v>
      </c>
      <c r="G25" s="23" t="n">
        <f aca="false">F25/$P25/10</f>
        <v>0</v>
      </c>
      <c r="H25" s="28" t="n">
        <v>208</v>
      </c>
      <c r="I25" s="23" t="n">
        <f aca="false">H25/$P25/10</f>
        <v>0.412126015454726</v>
      </c>
      <c r="J25" s="22" t="n">
        <f aca="false">L25*$J$37/100</f>
        <v>35.7</v>
      </c>
      <c r="K25" s="23" t="n">
        <f aca="false">J25/$P25/10</f>
        <v>0.0707350901525659</v>
      </c>
      <c r="L25" s="22" t="n">
        <v>210</v>
      </c>
      <c r="M25" s="22" t="n">
        <f aca="false">O25*$M$37/100</f>
        <v>244.8</v>
      </c>
      <c r="N25" s="23" t="n">
        <f aca="false">M25/$P25/10</f>
        <v>0.485040618189023</v>
      </c>
      <c r="O25" s="22" t="n">
        <v>1800</v>
      </c>
      <c r="P25" s="25" t="n">
        <v>50.47</v>
      </c>
      <c r="Q25" s="25" t="n">
        <f aca="false">100*P25/$P$36</f>
        <v>0.346644281427078</v>
      </c>
      <c r="R25" s="22" t="n">
        <f aca="false">H25+F25+B25+D25+J25+M25</f>
        <v>530.5</v>
      </c>
      <c r="S25" s="25" t="n">
        <f aca="false">R25/P25</f>
        <v>10.5111947691698</v>
      </c>
      <c r="U25" s="25" t="n">
        <f aca="false">-T25+($Q$45 + $Q$46)*1000*Q25/100</f>
        <v>154.000535111075</v>
      </c>
      <c r="V25" s="25" t="n">
        <f aca="false">U25/P25/10</f>
        <v>0.305132821698187</v>
      </c>
      <c r="W25" s="25" t="n">
        <f aca="false">ROUND(U25/P25 *100/1000, 2)</f>
        <v>0.31</v>
      </c>
      <c r="Y25" s="25" t="n">
        <f aca="false">-Q25*($Q$47)*10</f>
        <v>-83.1946275424988</v>
      </c>
      <c r="Z25" s="25" t="n">
        <f aca="false">Y25/P25/10</f>
        <v>-0.16483976132851</v>
      </c>
      <c r="AC25" s="22" t="n">
        <v>89.5</v>
      </c>
      <c r="AH25" s="22" t="s">
        <v>141</v>
      </c>
      <c r="AI25" s="22" t="n">
        <v>0</v>
      </c>
      <c r="AJ25" s="22" t="n">
        <v>21</v>
      </c>
      <c r="AK25" s="22" t="n">
        <f aca="false">AI25+AJ25/100</f>
        <v>0.21</v>
      </c>
      <c r="AL25" s="22" t="n">
        <f aca="false">AK25*1000</f>
        <v>210</v>
      </c>
      <c r="AO25" s="26" t="s">
        <v>140</v>
      </c>
      <c r="AP25" s="22" t="n">
        <v>1</v>
      </c>
      <c r="AQ25" s="22" t="n">
        <v>8</v>
      </c>
      <c r="AR25" s="26" t="n">
        <f aca="false">AP25+AQ25/10</f>
        <v>1.8</v>
      </c>
      <c r="AS25" s="26" t="n">
        <f aca="false">1000*AR25</f>
        <v>1800</v>
      </c>
      <c r="AU25" s="26" t="s">
        <v>141</v>
      </c>
      <c r="AV25" s="22" t="n">
        <v>0.21</v>
      </c>
      <c r="AW25" s="22" t="n">
        <v>0.46</v>
      </c>
      <c r="AX25" s="22" t="n">
        <v>0.31</v>
      </c>
      <c r="AY25" s="22" t="n">
        <v>1.48</v>
      </c>
      <c r="AZ25" s="22" t="n">
        <v>2.01</v>
      </c>
      <c r="BA25" s="26" t="s">
        <v>142</v>
      </c>
      <c r="BC25" s="26" t="n">
        <f aca="false">AV25*1000</f>
        <v>210</v>
      </c>
      <c r="BE25" s="22" t="s">
        <v>143</v>
      </c>
      <c r="BF25" s="22" t="s">
        <v>66</v>
      </c>
      <c r="BG25" s="22" t="n">
        <v>7</v>
      </c>
      <c r="BH25" s="22" t="s">
        <v>50</v>
      </c>
      <c r="BI25" s="22" t="n">
        <v>10</v>
      </c>
      <c r="BK25" s="22" t="s">
        <v>144</v>
      </c>
      <c r="BL25" s="22" t="n">
        <v>32</v>
      </c>
      <c r="BM25" s="22" t="s">
        <v>145</v>
      </c>
    </row>
    <row r="26" s="22" customFormat="true" ht="15" hidden="false" customHeight="true" outlineLevel="0" collapsed="false">
      <c r="A26" s="21" t="s">
        <v>146</v>
      </c>
      <c r="B26" s="22" t="n">
        <v>7</v>
      </c>
      <c r="C26" s="23" t="n">
        <f aca="false">B26/$P26/10</f>
        <v>0.0510538983298082</v>
      </c>
      <c r="D26" s="22" t="n">
        <v>10</v>
      </c>
      <c r="E26" s="23" t="n">
        <f aca="false">D26/$P26/10</f>
        <v>0.0729341404711545</v>
      </c>
      <c r="F26" s="24" t="n">
        <v>0</v>
      </c>
      <c r="G26" s="23" t="n">
        <f aca="false">F26/$P26/10</f>
        <v>0</v>
      </c>
      <c r="H26" s="24" t="n">
        <v>9</v>
      </c>
      <c r="I26" s="23" t="n">
        <f aca="false">H26/$P26/10</f>
        <v>0.0656407264240391</v>
      </c>
      <c r="J26" s="22" t="n">
        <f aca="false">L26*$J$37/100</f>
        <v>45.9</v>
      </c>
      <c r="K26" s="23" t="n">
        <f aca="false">J26/$P26/10</f>
        <v>0.334767704762599</v>
      </c>
      <c r="L26" s="22" t="n">
        <v>270</v>
      </c>
      <c r="M26" s="22" t="n">
        <f aca="false">O26*$M$37/100</f>
        <v>122.4</v>
      </c>
      <c r="N26" s="23" t="n">
        <f aca="false">M26/$P26/10</f>
        <v>0.892713879366932</v>
      </c>
      <c r="O26" s="22" t="n">
        <v>900</v>
      </c>
      <c r="P26" s="25" t="n">
        <v>13.711</v>
      </c>
      <c r="Q26" s="25" t="n">
        <f aca="false">100*P26/$P$36</f>
        <v>0.0941715819822998</v>
      </c>
      <c r="R26" s="22" t="n">
        <f aca="false">H26+F26+B26+D26+J26+M26</f>
        <v>194.3</v>
      </c>
      <c r="S26" s="25" t="n">
        <f aca="false">R26/P26</f>
        <v>14.1711034935453</v>
      </c>
      <c r="U26" s="25" t="n">
        <f aca="false">-T26+($Q$45 + $Q$46)*1000*Q26/100</f>
        <v>41.8367611830385</v>
      </c>
      <c r="V26" s="25" t="n">
        <f aca="false">U26/P26/10</f>
        <v>0.305132821698187</v>
      </c>
      <c r="W26" s="25" t="n">
        <f aca="false">ROUND(U26/P26 *100/1000, 2)</f>
        <v>0.31</v>
      </c>
      <c r="Y26" s="25" t="n">
        <f aca="false">-Q26*($Q$47)*10</f>
        <v>-22.6011796757519</v>
      </c>
      <c r="Z26" s="25" t="n">
        <f aca="false">Y26/P26/10</f>
        <v>-0.16483976132851</v>
      </c>
      <c r="AC26" s="22" t="n">
        <v>24.6</v>
      </c>
      <c r="AH26" s="22" t="s">
        <v>147</v>
      </c>
      <c r="AI26" s="22" t="n">
        <v>0</v>
      </c>
      <c r="AJ26" s="22" t="n">
        <v>27</v>
      </c>
      <c r="AK26" s="22" t="n">
        <f aca="false">AI26+AJ26/100</f>
        <v>0.27</v>
      </c>
      <c r="AL26" s="22" t="n">
        <f aca="false">AK26*1000</f>
        <v>270</v>
      </c>
      <c r="AO26" s="26" t="s">
        <v>146</v>
      </c>
      <c r="AP26" s="22" t="n">
        <v>0</v>
      </c>
      <c r="AQ26" s="22" t="n">
        <v>9</v>
      </c>
      <c r="AR26" s="26" t="n">
        <f aca="false">AP26+AQ26/10</f>
        <v>0.9</v>
      </c>
      <c r="AS26" s="26" t="n">
        <f aca="false">1000*AR26</f>
        <v>900</v>
      </c>
      <c r="AU26" s="26" t="s">
        <v>147</v>
      </c>
      <c r="AV26" s="22" t="n">
        <v>0.27</v>
      </c>
      <c r="AW26" s="22" t="n">
        <v>0.61</v>
      </c>
      <c r="AX26" s="22" t="n">
        <v>0.11</v>
      </c>
      <c r="AY26" s="22" t="n">
        <v>5.6</v>
      </c>
      <c r="AZ26" s="22" t="n">
        <v>7.59</v>
      </c>
      <c r="BA26" s="26" t="s">
        <v>148</v>
      </c>
      <c r="BC26" s="26" t="n">
        <f aca="false">AV26*1000</f>
        <v>270</v>
      </c>
      <c r="BE26" s="22" t="s">
        <v>149</v>
      </c>
      <c r="BF26" s="22" t="s">
        <v>66</v>
      </c>
      <c r="BG26" s="22" t="n">
        <v>5</v>
      </c>
      <c r="BH26" s="22" t="s">
        <v>50</v>
      </c>
      <c r="BI26" s="22" t="n">
        <v>7</v>
      </c>
      <c r="BK26" s="22" t="s">
        <v>150</v>
      </c>
      <c r="BL26" s="22" t="n">
        <v>10</v>
      </c>
      <c r="BM26" s="22" t="s">
        <v>151</v>
      </c>
    </row>
    <row r="27" s="22" customFormat="true" ht="15" hidden="false" customHeight="true" outlineLevel="0" collapsed="false">
      <c r="A27" s="27" t="s">
        <v>152</v>
      </c>
      <c r="B27" s="22" t="n">
        <v>333</v>
      </c>
      <c r="C27" s="23" t="n">
        <f aca="false">B27/$P27/10</f>
        <v>0.0397775325029027</v>
      </c>
      <c r="D27" s="22" t="n">
        <v>652</v>
      </c>
      <c r="E27" s="23" t="n">
        <f aca="false">D27/$P27/10</f>
        <v>0.0778827363119896</v>
      </c>
      <c r="F27" s="28" t="n">
        <v>1961</v>
      </c>
      <c r="G27" s="23" t="n">
        <f aca="false">F27/$P27/10</f>
        <v>0.23424546918376</v>
      </c>
      <c r="H27" s="28" t="n">
        <v>913</v>
      </c>
      <c r="I27" s="23" t="n">
        <f aca="false">H27/$P27/10</f>
        <v>0.109059721246697</v>
      </c>
      <c r="J27" s="22" t="n">
        <f aca="false">L27*$J$37/100</f>
        <v>336.6</v>
      </c>
      <c r="K27" s="23" t="n">
        <f aca="false">J27/$P27/10</f>
        <v>0.0402075598813125</v>
      </c>
      <c r="L27" s="22" t="n">
        <v>1980</v>
      </c>
      <c r="M27" s="22" t="n">
        <f aca="false">O27*$M$37/100</f>
        <v>1496</v>
      </c>
      <c r="N27" s="23" t="n">
        <f aca="false">M27/$P27/10</f>
        <v>0.178700266139166</v>
      </c>
      <c r="O27" s="22" t="n">
        <v>11000</v>
      </c>
      <c r="P27" s="25" t="n">
        <v>837.156</v>
      </c>
      <c r="Q27" s="25" t="n">
        <f aca="false">100*P27/$P$36</f>
        <v>5.74985813478041</v>
      </c>
      <c r="R27" s="22" t="n">
        <f aca="false">H27+F27+B27+D27+J27+M27</f>
        <v>5691.6</v>
      </c>
      <c r="S27" s="25" t="n">
        <f aca="false">R27/P27</f>
        <v>6.79873285265829</v>
      </c>
      <c r="U27" s="25" t="n">
        <f aca="false">-T27+($Q$45 + $Q$46)*1000*Q27/100</f>
        <v>2554.43772481568</v>
      </c>
      <c r="V27" s="25" t="n">
        <f aca="false">U27/P27/10</f>
        <v>0.305132821698187</v>
      </c>
      <c r="W27" s="25" t="n">
        <f aca="false">ROUND(U27/P27 *100/1000, 2)</f>
        <v>0.31</v>
      </c>
      <c r="Y27" s="25" t="n">
        <f aca="false">-Q27*($Q$47)*10</f>
        <v>-1379.9659523473</v>
      </c>
      <c r="Z27" s="25" t="n">
        <f aca="false">Y27/P27/10</f>
        <v>-0.16483976132851</v>
      </c>
      <c r="AC27" s="22" t="n">
        <v>1170.6</v>
      </c>
      <c r="AH27" s="22" t="s">
        <v>153</v>
      </c>
      <c r="AI27" s="22" t="n">
        <v>1</v>
      </c>
      <c r="AJ27" s="22" t="n">
        <v>98</v>
      </c>
      <c r="AK27" s="22" t="n">
        <f aca="false">AI27+AJ27/100</f>
        <v>1.98</v>
      </c>
      <c r="AL27" s="22" t="n">
        <f aca="false">AK27*1000</f>
        <v>1980</v>
      </c>
      <c r="AO27" s="26" t="s">
        <v>154</v>
      </c>
      <c r="AP27" s="22" t="n">
        <v>11</v>
      </c>
      <c r="AQ27" s="22" t="n">
        <v>0</v>
      </c>
      <c r="AR27" s="26" t="n">
        <f aca="false">AP27+AQ27/10</f>
        <v>11</v>
      </c>
      <c r="AS27" s="26" t="n">
        <f aca="false">1000*AR27</f>
        <v>11000</v>
      </c>
      <c r="AU27" s="26" t="s">
        <v>153</v>
      </c>
      <c r="AV27" s="22" t="n">
        <v>1.98</v>
      </c>
      <c r="AW27" s="22" t="n">
        <v>4.4</v>
      </c>
      <c r="AX27" s="22" t="n">
        <v>6.06</v>
      </c>
      <c r="AY27" s="22" t="n">
        <v>0.73</v>
      </c>
      <c r="AZ27" s="22" t="n">
        <v>0.99</v>
      </c>
      <c r="BA27" s="26" t="s">
        <v>155</v>
      </c>
      <c r="BC27" s="26" t="n">
        <f aca="false">AV27*1000</f>
        <v>1980</v>
      </c>
      <c r="BE27" s="22" t="s">
        <v>156</v>
      </c>
      <c r="BF27" s="22" t="n">
        <v>293</v>
      </c>
      <c r="BG27" s="22" t="n">
        <v>245</v>
      </c>
      <c r="BH27" s="22" t="s">
        <v>50</v>
      </c>
      <c r="BI27" s="22" t="n">
        <v>333</v>
      </c>
      <c r="BK27" s="22" t="s">
        <v>153</v>
      </c>
      <c r="BL27" s="22" t="n">
        <v>652</v>
      </c>
      <c r="BM27" s="22" t="s">
        <v>105</v>
      </c>
    </row>
    <row r="28" s="22" customFormat="true" ht="15" hidden="false" customHeight="true" outlineLevel="0" collapsed="false">
      <c r="A28" s="21" t="s">
        <v>157</v>
      </c>
      <c r="B28" s="22" t="n">
        <v>497</v>
      </c>
      <c r="C28" s="23" t="n">
        <f aca="false">B28/$P28/10</f>
        <v>0.0907081624570414</v>
      </c>
      <c r="D28" s="22" t="n">
        <v>427</v>
      </c>
      <c r="E28" s="23" t="n">
        <f aca="false">D28/$P28/10</f>
        <v>0.0779323649278806</v>
      </c>
      <c r="F28" s="24" t="n">
        <v>63</v>
      </c>
      <c r="G28" s="23" t="n">
        <f aca="false">F28/$P28/10</f>
        <v>0.0114982177762447</v>
      </c>
      <c r="H28" s="24" t="n">
        <v>560</v>
      </c>
      <c r="I28" s="23" t="n">
        <f aca="false">H28/$P28/10</f>
        <v>0.102206380233286</v>
      </c>
      <c r="J28" s="22" t="n">
        <f aca="false">L28*$J$37/100</f>
        <v>202.3</v>
      </c>
      <c r="K28" s="23" t="n">
        <f aca="false">J28/$P28/10</f>
        <v>0.0369220548592746</v>
      </c>
      <c r="L28" s="22" t="n">
        <v>1190</v>
      </c>
      <c r="M28" s="22" t="n">
        <f aca="false">O28*$M$37/100</f>
        <v>1088</v>
      </c>
      <c r="N28" s="23" t="n">
        <f aca="false">M28/$P28/10</f>
        <v>0.198572395881813</v>
      </c>
      <c r="O28" s="22" t="n">
        <v>8000</v>
      </c>
      <c r="P28" s="25" t="n">
        <v>547.911</v>
      </c>
      <c r="Q28" s="25" t="n">
        <f aca="false">100*P28/$P$36</f>
        <v>3.76322993621937</v>
      </c>
      <c r="R28" s="22" t="n">
        <f aca="false">H28+F28+B28+D28+J28+M28</f>
        <v>2837.3</v>
      </c>
      <c r="S28" s="25" t="n">
        <f aca="false">R28/P28</f>
        <v>5.1783957613554</v>
      </c>
      <c r="U28" s="25" t="n">
        <f aca="false">-T28+($Q$45 + $Q$46)*1000*Q28/100</f>
        <v>1671.85629469476</v>
      </c>
      <c r="V28" s="25" t="n">
        <f aca="false">U28/P28/10</f>
        <v>0.305132821698187</v>
      </c>
      <c r="W28" s="25" t="n">
        <f aca="false">ROUND(U28/P28 *100/1000, 2)</f>
        <v>0.31</v>
      </c>
      <c r="Y28" s="25" t="n">
        <f aca="false">-Q28*($Q$47)*10</f>
        <v>-903.17518469265</v>
      </c>
      <c r="Z28" s="25" t="n">
        <f aca="false">Y28/P28/10</f>
        <v>-0.16483976132851</v>
      </c>
      <c r="AC28" s="22" t="n">
        <v>922.9</v>
      </c>
      <c r="AH28" s="22" t="s">
        <v>158</v>
      </c>
      <c r="AI28" s="22" t="n">
        <v>1</v>
      </c>
      <c r="AJ28" s="22" t="n">
        <v>19</v>
      </c>
      <c r="AK28" s="22" t="n">
        <f aca="false">AI28+AJ28/100</f>
        <v>1.19</v>
      </c>
      <c r="AL28" s="22" t="n">
        <f aca="false">AK28*1000</f>
        <v>1190</v>
      </c>
      <c r="AO28" s="26" t="s">
        <v>159</v>
      </c>
      <c r="AP28" s="22" t="n">
        <v>8</v>
      </c>
      <c r="AQ28" s="22" t="n">
        <v>0</v>
      </c>
      <c r="AR28" s="26" t="n">
        <f aca="false">AP28+AQ28/10</f>
        <v>8</v>
      </c>
      <c r="AS28" s="26" t="n">
        <f aca="false">1000*AR28</f>
        <v>8000</v>
      </c>
      <c r="AU28" s="26" t="s">
        <v>158</v>
      </c>
      <c r="AV28" s="22" t="n">
        <v>1.19</v>
      </c>
      <c r="AW28" s="22" t="n">
        <v>2.65</v>
      </c>
      <c r="AX28" s="22" t="n">
        <v>4.77</v>
      </c>
      <c r="AY28" s="22" t="n">
        <v>0.56</v>
      </c>
      <c r="AZ28" s="22" t="n">
        <v>0.76</v>
      </c>
      <c r="BA28" s="26" t="s">
        <v>160</v>
      </c>
      <c r="BC28" s="26" t="n">
        <f aca="false">AV28*1000</f>
        <v>1190</v>
      </c>
      <c r="BE28" s="22" t="s">
        <v>161</v>
      </c>
      <c r="BF28" s="22" t="n">
        <v>192</v>
      </c>
      <c r="BG28" s="22" t="n">
        <v>365</v>
      </c>
      <c r="BH28" s="22" t="s">
        <v>50</v>
      </c>
      <c r="BI28" s="22" t="n">
        <v>497</v>
      </c>
      <c r="BK28" s="22" t="s">
        <v>158</v>
      </c>
      <c r="BL28" s="22" t="n">
        <v>427</v>
      </c>
      <c r="BM28" s="22" t="s">
        <v>162</v>
      </c>
    </row>
    <row r="29" s="22" customFormat="true" ht="15" hidden="false" customHeight="true" outlineLevel="0" collapsed="false">
      <c r="A29" s="27" t="s">
        <v>163</v>
      </c>
      <c r="B29" s="22" t="n">
        <v>137</v>
      </c>
      <c r="C29" s="23" t="n">
        <f aca="false">B29/$P29/10</f>
        <v>0.0646607669616519</v>
      </c>
      <c r="D29" s="22" t="n">
        <v>84</v>
      </c>
      <c r="E29" s="23" t="n">
        <f aca="false">D29/$P29/10</f>
        <v>0.039646017699115</v>
      </c>
      <c r="F29" s="28" t="n">
        <v>24.9</v>
      </c>
      <c r="G29" s="23" t="n">
        <f aca="false">F29/$P29/10</f>
        <v>0.0117522123893805</v>
      </c>
      <c r="H29" s="28" t="n">
        <v>330</v>
      </c>
      <c r="I29" s="23" t="n">
        <f aca="false">H29/$P29/10</f>
        <v>0.155752212389381</v>
      </c>
      <c r="J29" s="22" t="n">
        <f aca="false">L29*$J$37/100</f>
        <v>331.5</v>
      </c>
      <c r="K29" s="23" t="n">
        <f aca="false">J29/$P29/10</f>
        <v>0.15646017699115</v>
      </c>
      <c r="L29" s="22" t="n">
        <v>1950</v>
      </c>
      <c r="M29" s="22" t="n">
        <f aca="false">O29*$M$37/100</f>
        <v>870.4</v>
      </c>
      <c r="N29" s="23" t="n">
        <f aca="false">M29/$P29/10</f>
        <v>0.410808259587021</v>
      </c>
      <c r="O29" s="22" t="n">
        <v>6400</v>
      </c>
      <c r="P29" s="25" t="n">
        <v>211.875</v>
      </c>
      <c r="Q29" s="25" t="n">
        <f aca="false">100*P29/$P$36</f>
        <v>1.45522601797825</v>
      </c>
      <c r="R29" s="22" t="n">
        <f aca="false">H29+F29+B29+D29+J29+M29</f>
        <v>1777.8</v>
      </c>
      <c r="S29" s="25" t="n">
        <f aca="false">R29/P29</f>
        <v>8.39079646017699</v>
      </c>
      <c r="U29" s="25" t="n">
        <f aca="false">-T29+($Q$45 + $Q$46)*1000*Q29/100</f>
        <v>646.500165973035</v>
      </c>
      <c r="V29" s="25" t="n">
        <f aca="false">U29/P29/10</f>
        <v>0.305132821698187</v>
      </c>
      <c r="W29" s="25" t="n">
        <f aca="false">ROUND(U29/P29 *100/1000, 2)</f>
        <v>0.31</v>
      </c>
      <c r="Y29" s="25" t="n">
        <f aca="false">-Q29*($Q$47)*10</f>
        <v>-349.25424431478</v>
      </c>
      <c r="Z29" s="25" t="n">
        <f aca="false">Y29/P29/10</f>
        <v>-0.16483976132851</v>
      </c>
      <c r="AC29" s="22" t="n">
        <v>306.8</v>
      </c>
      <c r="AH29" s="22" t="s">
        <v>164</v>
      </c>
      <c r="AI29" s="22" t="n">
        <v>1</v>
      </c>
      <c r="AJ29" s="22" t="n">
        <v>95</v>
      </c>
      <c r="AK29" s="22" t="n">
        <f aca="false">AI29+AJ29/100</f>
        <v>1.95</v>
      </c>
      <c r="AL29" s="22" t="n">
        <f aca="false">AK29*1000</f>
        <v>1950</v>
      </c>
      <c r="AO29" s="26" t="s">
        <v>165</v>
      </c>
      <c r="AP29" s="22" t="n">
        <v>6</v>
      </c>
      <c r="AQ29" s="22" t="n">
        <v>4</v>
      </c>
      <c r="AR29" s="26" t="n">
        <f aca="false">AP29+AQ29/10</f>
        <v>6.4</v>
      </c>
      <c r="AS29" s="26" t="n">
        <f aca="false">1000*AR29</f>
        <v>6400</v>
      </c>
      <c r="AU29" s="26" t="s">
        <v>164</v>
      </c>
      <c r="AV29" s="22" t="n">
        <v>1.95</v>
      </c>
      <c r="AW29" s="22" t="n">
        <v>4.33</v>
      </c>
      <c r="AX29" s="22" t="n">
        <v>1.55</v>
      </c>
      <c r="AY29" s="22" t="n">
        <v>2.8</v>
      </c>
      <c r="AZ29" s="22" t="n">
        <v>3.8</v>
      </c>
      <c r="BA29" s="26" t="s">
        <v>166</v>
      </c>
      <c r="BC29" s="26" t="n">
        <f aca="false">AV29*1000</f>
        <v>1950</v>
      </c>
      <c r="BE29" s="22" t="s">
        <v>167</v>
      </c>
      <c r="BF29" s="22" t="n">
        <v>38</v>
      </c>
      <c r="BG29" s="22" t="n">
        <v>101</v>
      </c>
      <c r="BH29" s="22" t="s">
        <v>50</v>
      </c>
      <c r="BI29" s="22" t="n">
        <v>137</v>
      </c>
      <c r="BK29" s="22" t="s">
        <v>164</v>
      </c>
      <c r="BL29" s="22" t="n">
        <v>84</v>
      </c>
      <c r="BM29" s="22" t="s">
        <v>61</v>
      </c>
    </row>
    <row r="30" s="22" customFormat="true" ht="15" hidden="false" customHeight="true" outlineLevel="0" collapsed="false">
      <c r="A30" s="21" t="s">
        <v>168</v>
      </c>
      <c r="B30" s="22" t="n">
        <v>135</v>
      </c>
      <c r="C30" s="23" t="n">
        <f aca="false">B30/$P30/10</f>
        <v>0.0626997101880062</v>
      </c>
      <c r="D30" s="22" t="n">
        <v>30</v>
      </c>
      <c r="E30" s="23" t="n">
        <f aca="false">D30/$P30/10</f>
        <v>0.0139332689306681</v>
      </c>
      <c r="F30" s="24" t="n">
        <v>1.9</v>
      </c>
      <c r="G30" s="23" t="n">
        <f aca="false">F30/$P30/10</f>
        <v>0.000882440365608977</v>
      </c>
      <c r="H30" s="24" t="n">
        <v>121</v>
      </c>
      <c r="I30" s="23" t="n">
        <f aca="false">H30/$P30/10</f>
        <v>0.0561975180203611</v>
      </c>
      <c r="J30" s="22" t="n">
        <f aca="false">L30*$J$37/100</f>
        <v>105.4</v>
      </c>
      <c r="K30" s="23" t="n">
        <f aca="false">J30/$P30/10</f>
        <v>0.0489522181764138</v>
      </c>
      <c r="L30" s="22" t="n">
        <v>620</v>
      </c>
      <c r="M30" s="22" t="n">
        <f aca="false">O30*$M$37/100</f>
        <v>435.2</v>
      </c>
      <c r="N30" s="23" t="n">
        <f aca="false">M30/$P30/10</f>
        <v>0.202125287954225</v>
      </c>
      <c r="O30" s="22" t="n">
        <v>3200</v>
      </c>
      <c r="P30" s="25" t="n">
        <v>215.312</v>
      </c>
      <c r="Q30" s="25" t="n">
        <f aca="false">100*P30/$P$36</f>
        <v>1.47883244546517</v>
      </c>
      <c r="R30" s="22" t="n">
        <f aca="false">H30+F30+B30+D30+J30+M30</f>
        <v>828.5</v>
      </c>
      <c r="S30" s="25" t="n">
        <f aca="false">R30/P30</f>
        <v>3.84790443635283</v>
      </c>
      <c r="U30" s="25" t="n">
        <f aca="false">-T30+($Q$45 + $Q$46)*1000*Q30/100</f>
        <v>656.987581054801</v>
      </c>
      <c r="V30" s="25" t="n">
        <f aca="false">U30/P30/10</f>
        <v>0.305132821698187</v>
      </c>
      <c r="W30" s="25" t="n">
        <f aca="false">ROUND(U30/P30 *100/1000, 2)</f>
        <v>0.31</v>
      </c>
      <c r="Y30" s="25" t="n">
        <f aca="false">-Q30*($Q$47)*10</f>
        <v>-354.919786911641</v>
      </c>
      <c r="Z30" s="25" t="n">
        <f aca="false">Y30/P30/10</f>
        <v>-0.16483976132851</v>
      </c>
      <c r="AC30" s="22" t="n">
        <v>380.1</v>
      </c>
      <c r="AH30" s="22" t="s">
        <v>169</v>
      </c>
      <c r="AI30" s="22" t="n">
        <v>0</v>
      </c>
      <c r="AJ30" s="22" t="n">
        <v>62</v>
      </c>
      <c r="AK30" s="22" t="n">
        <f aca="false">AI30+AJ30/100</f>
        <v>0.62</v>
      </c>
      <c r="AL30" s="22" t="n">
        <f aca="false">AK30*1000</f>
        <v>620</v>
      </c>
      <c r="AO30" s="26" t="s">
        <v>168</v>
      </c>
      <c r="AP30" s="22" t="n">
        <v>3</v>
      </c>
      <c r="AQ30" s="22" t="n">
        <v>2</v>
      </c>
      <c r="AR30" s="26" t="n">
        <f aca="false">AP30+AQ30/10</f>
        <v>3.2</v>
      </c>
      <c r="AS30" s="26" t="n">
        <f aca="false">1000*AR30</f>
        <v>3200</v>
      </c>
      <c r="AU30" s="26" t="s">
        <v>169</v>
      </c>
      <c r="AV30" s="22" t="n">
        <v>0.62</v>
      </c>
      <c r="AW30" s="22" t="n">
        <v>1.37</v>
      </c>
      <c r="AX30" s="22" t="n">
        <v>2.03</v>
      </c>
      <c r="AY30" s="22" t="n">
        <v>0.68</v>
      </c>
      <c r="AZ30" s="22" t="n">
        <v>0.92</v>
      </c>
      <c r="BA30" s="26" t="s">
        <v>170</v>
      </c>
      <c r="BC30" s="26" t="n">
        <f aca="false">AV30*1000</f>
        <v>620</v>
      </c>
      <c r="BE30" s="22" t="s">
        <v>171</v>
      </c>
      <c r="BF30" s="22" t="n">
        <v>13</v>
      </c>
      <c r="BG30" s="22" t="n">
        <v>99</v>
      </c>
      <c r="BH30" s="22" t="s">
        <v>50</v>
      </c>
      <c r="BI30" s="22" t="n">
        <v>135</v>
      </c>
      <c r="BK30" s="22" t="s">
        <v>169</v>
      </c>
      <c r="BL30" s="22" t="n">
        <v>30</v>
      </c>
      <c r="BM30" s="22" t="s">
        <v>172</v>
      </c>
    </row>
    <row r="31" s="22" customFormat="true" ht="15" hidden="false" customHeight="true" outlineLevel="0" collapsed="false">
      <c r="A31" s="27" t="s">
        <v>173</v>
      </c>
      <c r="B31" s="22" t="n">
        <v>76</v>
      </c>
      <c r="C31" s="23" t="n">
        <f aca="false">B31/$P31/10</f>
        <v>0.0781105469793829</v>
      </c>
      <c r="D31" s="22" t="n">
        <v>37</v>
      </c>
      <c r="E31" s="23" t="n">
        <f aca="false">D31/$P31/10</f>
        <v>0.0380275031346996</v>
      </c>
      <c r="F31" s="28" t="n">
        <v>0</v>
      </c>
      <c r="G31" s="23" t="n">
        <f aca="false">F31/$P31/10</f>
        <v>0</v>
      </c>
      <c r="H31" s="28" t="n">
        <v>19</v>
      </c>
      <c r="I31" s="23" t="n">
        <f aca="false">H31/$P31/10</f>
        <v>0.0195276367448457</v>
      </c>
      <c r="J31" s="22" t="n">
        <f aca="false">L31*$J$37/100</f>
        <v>8.5</v>
      </c>
      <c r="K31" s="23" t="n">
        <f aca="false">J31/$P31/10</f>
        <v>0.00873604801743099</v>
      </c>
      <c r="L31" s="22" t="n">
        <v>50</v>
      </c>
      <c r="M31" s="22" t="n">
        <f aca="false">O31*$M$37/100</f>
        <v>176.8</v>
      </c>
      <c r="N31" s="23" t="n">
        <f aca="false">M31/$P31/10</f>
        <v>0.181709798762565</v>
      </c>
      <c r="O31" s="22" t="n">
        <v>1300</v>
      </c>
      <c r="P31" s="25" t="n">
        <v>97.298</v>
      </c>
      <c r="Q31" s="25" t="n">
        <f aca="false">100*P31/$P$36</f>
        <v>0.668274129072555</v>
      </c>
      <c r="R31" s="22" t="n">
        <f aca="false">H31+F31+B31+D31+J31+M31</f>
        <v>317.3</v>
      </c>
      <c r="S31" s="25" t="n">
        <f aca="false">R31/P31</f>
        <v>3.26111533638924</v>
      </c>
      <c r="U31" s="25" t="n">
        <f aca="false">-T31+($Q$45 + $Q$46)*1000*Q31/100</f>
        <v>296.888132855902</v>
      </c>
      <c r="V31" s="25" t="n">
        <f aca="false">U31/P31/10</f>
        <v>0.305132821698187</v>
      </c>
      <c r="W31" s="25" t="n">
        <f aca="false">ROUND(U31/P31 *100/1000, 2)</f>
        <v>0.31</v>
      </c>
      <c r="Y31" s="25" t="n">
        <f aca="false">-Q31*($Q$47)*10</f>
        <v>-160.385790977413</v>
      </c>
      <c r="Z31" s="25" t="n">
        <f aca="false">Y31/P31/10</f>
        <v>-0.16483976132851</v>
      </c>
      <c r="AA31" s="30"/>
      <c r="AC31" s="22" t="n">
        <v>136.8</v>
      </c>
      <c r="AH31" s="22" t="s">
        <v>174</v>
      </c>
      <c r="AI31" s="22" t="n">
        <v>0</v>
      </c>
      <c r="AJ31" s="22" t="n">
        <v>40</v>
      </c>
      <c r="AK31" s="22" t="n">
        <f aca="false">AI31+AJ31/100</f>
        <v>0.4</v>
      </c>
      <c r="AL31" s="22" t="n">
        <f aca="false">AK31*1000</f>
        <v>400</v>
      </c>
      <c r="AO31" s="26" t="s">
        <v>173</v>
      </c>
      <c r="AP31" s="22" t="n">
        <v>1</v>
      </c>
      <c r="AQ31" s="22" t="n">
        <v>3</v>
      </c>
      <c r="AR31" s="26" t="n">
        <f aca="false">AP31+AQ31/10</f>
        <v>1.3</v>
      </c>
      <c r="AS31" s="26" t="n">
        <f aca="false">1000*AR31</f>
        <v>1300</v>
      </c>
      <c r="AU31" s="26" t="s">
        <v>174</v>
      </c>
      <c r="AV31" s="22" t="n">
        <v>0.05</v>
      </c>
      <c r="AW31" s="22" t="n">
        <v>0.1</v>
      </c>
      <c r="AX31" s="22" t="n">
        <v>0.73</v>
      </c>
      <c r="AY31" s="22" t="n">
        <v>0.14</v>
      </c>
      <c r="AZ31" s="22" t="n">
        <v>0.19</v>
      </c>
      <c r="BA31" s="26" t="s">
        <v>175</v>
      </c>
      <c r="BC31" s="26" t="n">
        <f aca="false">AV31*1000</f>
        <v>50</v>
      </c>
      <c r="BE31" s="22" t="s">
        <v>176</v>
      </c>
      <c r="BF31" s="22" t="n">
        <v>17</v>
      </c>
      <c r="BG31" s="22" t="n">
        <v>56</v>
      </c>
      <c r="BH31" s="22" t="s">
        <v>50</v>
      </c>
      <c r="BI31" s="22" t="n">
        <v>76</v>
      </c>
      <c r="BK31" s="22" t="s">
        <v>174</v>
      </c>
      <c r="BL31" s="22" t="n">
        <v>37</v>
      </c>
      <c r="BM31" s="22" t="s">
        <v>139</v>
      </c>
    </row>
    <row r="32" s="22" customFormat="true" ht="15" hidden="false" customHeight="true" outlineLevel="0" collapsed="false">
      <c r="A32" s="21" t="s">
        <v>177</v>
      </c>
      <c r="B32" s="22" t="n">
        <v>33</v>
      </c>
      <c r="C32" s="23" t="n">
        <f aca="false">B32/$P32/10</f>
        <v>0.0641137728041033</v>
      </c>
      <c r="D32" s="22" t="n">
        <v>14</v>
      </c>
      <c r="E32" s="23" t="n">
        <f aca="false">D32/$P32/10</f>
        <v>0.0271997824017408</v>
      </c>
      <c r="F32" s="24" t="n">
        <v>0.4</v>
      </c>
      <c r="G32" s="23" t="n">
        <f aca="false">F32/$P32/10</f>
        <v>0.000777136640049737</v>
      </c>
      <c r="H32" s="24" t="n">
        <v>75</v>
      </c>
      <c r="I32" s="23" t="n">
        <f aca="false">H32/$P32/10</f>
        <v>0.145713120009326</v>
      </c>
      <c r="J32" s="22" t="n">
        <f aca="false">L32*$J$37/100</f>
        <v>5.1</v>
      </c>
      <c r="K32" s="23" t="n">
        <f aca="false">J32/$P32/10</f>
        <v>0.00990849216063414</v>
      </c>
      <c r="L32" s="22" t="n">
        <v>30</v>
      </c>
      <c r="M32" s="22" t="n">
        <f aca="false">O32*$M$37/100</f>
        <v>149.6</v>
      </c>
      <c r="N32" s="23" t="n">
        <f aca="false">M32/$P32/10</f>
        <v>0.290649103378602</v>
      </c>
      <c r="O32" s="22" t="n">
        <v>1100</v>
      </c>
      <c r="P32" s="25" t="n">
        <v>51.471</v>
      </c>
      <c r="Q32" s="25" t="n">
        <f aca="false">100*P32/$P$36</f>
        <v>0.353519473139155</v>
      </c>
      <c r="R32" s="22" t="n">
        <f aca="false">H32+F32+B32+D32+J32+M32</f>
        <v>277.1</v>
      </c>
      <c r="S32" s="25" t="n">
        <f aca="false">R32/P32</f>
        <v>5.38361407394455</v>
      </c>
      <c r="U32" s="25" t="n">
        <f aca="false">-T32+($Q$45 + $Q$46)*1000*Q32/100</f>
        <v>157.054914656274</v>
      </c>
      <c r="V32" s="25" t="n">
        <f aca="false">U32/P32/10</f>
        <v>0.305132821698187</v>
      </c>
      <c r="W32" s="25" t="n">
        <f aca="false">ROUND(U32/P32 *100/1000, 2)</f>
        <v>0.31</v>
      </c>
      <c r="Y32" s="25" t="n">
        <f aca="false">-Q32*($Q$47)*10</f>
        <v>-84.8446735533971</v>
      </c>
      <c r="Z32" s="25" t="n">
        <f aca="false">Y32/P32/10</f>
        <v>-0.16483976132851</v>
      </c>
      <c r="AC32" s="22" t="n">
        <v>70.5</v>
      </c>
      <c r="AH32" s="22" t="s">
        <v>178</v>
      </c>
      <c r="AI32" s="22" t="n">
        <v>0</v>
      </c>
      <c r="AJ32" s="22" t="n">
        <v>30</v>
      </c>
      <c r="AK32" s="22" t="n">
        <f aca="false">AI32+AJ32/100</f>
        <v>0.3</v>
      </c>
      <c r="AL32" s="22" t="n">
        <f aca="false">AK32*1000</f>
        <v>300</v>
      </c>
      <c r="AO32" s="26" t="s">
        <v>177</v>
      </c>
      <c r="AP32" s="22" t="n">
        <v>1</v>
      </c>
      <c r="AQ32" s="22" t="n">
        <v>1</v>
      </c>
      <c r="AR32" s="26" t="n">
        <f aca="false">AP32+AQ32/10</f>
        <v>1.1</v>
      </c>
      <c r="AS32" s="26" t="n">
        <f aca="false">1000*AR32</f>
        <v>1100</v>
      </c>
      <c r="AU32" s="26" t="s">
        <v>178</v>
      </c>
      <c r="AV32" s="22" t="n">
        <v>0.03</v>
      </c>
      <c r="AW32" s="22" t="n">
        <v>0.06</v>
      </c>
      <c r="AX32" s="22" t="n">
        <v>0.38</v>
      </c>
      <c r="AY32" s="22" t="n">
        <v>0.16</v>
      </c>
      <c r="AZ32" s="22" t="n">
        <v>0.22</v>
      </c>
      <c r="BA32" s="26" t="s">
        <v>179</v>
      </c>
      <c r="BC32" s="26" t="n">
        <f aca="false">AV32*1000</f>
        <v>30</v>
      </c>
      <c r="BE32" s="22" t="s">
        <v>180</v>
      </c>
      <c r="BF32" s="22" t="n">
        <v>6</v>
      </c>
      <c r="BG32" s="22" t="n">
        <v>24</v>
      </c>
      <c r="BH32" s="22" t="s">
        <v>50</v>
      </c>
      <c r="BI32" s="22" t="n">
        <v>33</v>
      </c>
      <c r="BK32" s="22" t="s">
        <v>178</v>
      </c>
      <c r="BL32" s="22" t="n">
        <v>14</v>
      </c>
      <c r="BM32" s="22" t="s">
        <v>181</v>
      </c>
    </row>
    <row r="33" s="22" customFormat="true" ht="15" hidden="false" customHeight="true" outlineLevel="0" collapsed="false">
      <c r="A33" s="27" t="s">
        <v>182</v>
      </c>
      <c r="B33" s="22" t="n">
        <v>687</v>
      </c>
      <c r="C33" s="23" t="n">
        <f aca="false">B33/$P33/10</f>
        <v>0.056628268798813</v>
      </c>
      <c r="D33" s="22" t="n">
        <v>830</v>
      </c>
      <c r="E33" s="23" t="n">
        <f aca="false">D33/$P33/10</f>
        <v>0.0684155212562079</v>
      </c>
      <c r="F33" s="28" t="n">
        <v>240.6</v>
      </c>
      <c r="G33" s="23" t="n">
        <f aca="false">F33/$P33/10</f>
        <v>0.019832258330414</v>
      </c>
      <c r="H33" s="28" t="n">
        <v>2151</v>
      </c>
      <c r="I33" s="23" t="n">
        <f aca="false">H33/$P33/10</f>
        <v>0.1773033568941</v>
      </c>
      <c r="J33" s="22" t="n">
        <f aca="false">L33*$J$37/100</f>
        <v>1586.1</v>
      </c>
      <c r="K33" s="23" t="n">
        <f aca="false">J33/$P33/10</f>
        <v>0.130739588270447</v>
      </c>
      <c r="L33" s="22" t="n">
        <v>9330</v>
      </c>
      <c r="M33" s="22" t="n">
        <f aca="false">O33*$M$37/100</f>
        <v>4202.4</v>
      </c>
      <c r="N33" s="23" t="n">
        <f aca="false">M33/$P33/10</f>
        <v>0.346396851237455</v>
      </c>
      <c r="O33" s="22" t="n">
        <v>30900</v>
      </c>
      <c r="P33" s="25" t="n">
        <v>1213.175</v>
      </c>
      <c r="Q33" s="25" t="n">
        <f aca="false">100*P33/$P$36</f>
        <v>8.33247822707144</v>
      </c>
      <c r="R33" s="22" t="n">
        <f aca="false">H33+F33+B33+D33+J33+M33</f>
        <v>9697.1</v>
      </c>
      <c r="S33" s="25" t="n">
        <f aca="false">R33/P33</f>
        <v>7.99315844787438</v>
      </c>
      <c r="T33" s="22" t="n">
        <f aca="false">B33+F33</f>
        <v>927.6</v>
      </c>
      <c r="U33" s="25" t="n">
        <f aca="false">-T33+($Q$45 + $Q$46)*1000*Q33/100</f>
        <v>2774.19510963698</v>
      </c>
      <c r="V33" s="25" t="n">
        <f aca="false">U33/P33/10</f>
        <v>0.22867229456896</v>
      </c>
      <c r="W33" s="25" t="n">
        <f aca="false">ROUND(U33/P33 *100/1000, 2)</f>
        <v>0.23</v>
      </c>
      <c r="Y33" s="25" t="n">
        <f aca="false">-Q33*($Q$47)*10</f>
        <v>-1999.79477449715</v>
      </c>
      <c r="Z33" s="25" t="n">
        <f aca="false">Y33/P33/10</f>
        <v>-0.16483976132851</v>
      </c>
      <c r="AC33" s="22" t="n">
        <v>1687.2</v>
      </c>
      <c r="AH33" s="22" t="s">
        <v>183</v>
      </c>
      <c r="AI33" s="22" t="n">
        <v>9</v>
      </c>
      <c r="AJ33" s="22" t="n">
        <v>33</v>
      </c>
      <c r="AK33" s="22" t="n">
        <f aca="false">AI33+AJ33/100</f>
        <v>9.33</v>
      </c>
      <c r="AL33" s="22" t="n">
        <f aca="false">AK33*1000</f>
        <v>9330</v>
      </c>
      <c r="AO33" s="26" t="s">
        <v>184</v>
      </c>
      <c r="AP33" s="22" t="n">
        <v>30</v>
      </c>
      <c r="AQ33" s="22" t="n">
        <v>9</v>
      </c>
      <c r="AR33" s="26" t="n">
        <f aca="false">AP33+AQ33/10</f>
        <v>30.9</v>
      </c>
      <c r="AS33" s="26" t="n">
        <f aca="false">1000*AR33</f>
        <v>30900</v>
      </c>
      <c r="AU33" s="26" t="s">
        <v>183</v>
      </c>
      <c r="AV33" s="22" t="n">
        <v>9.33</v>
      </c>
      <c r="AW33" s="22" t="n">
        <v>20.74</v>
      </c>
      <c r="AX33" s="22" t="n">
        <v>8.68</v>
      </c>
      <c r="AY33" s="22" t="n">
        <v>2.39</v>
      </c>
      <c r="AZ33" s="22" t="n">
        <v>3.24</v>
      </c>
      <c r="BA33" s="26" t="s">
        <v>185</v>
      </c>
      <c r="BC33" s="26" t="n">
        <f aca="false">AV33*1000</f>
        <v>9330</v>
      </c>
      <c r="BE33" s="22" t="s">
        <v>186</v>
      </c>
      <c r="BF33" s="22" t="s">
        <v>187</v>
      </c>
      <c r="BG33" s="22" t="n">
        <v>505</v>
      </c>
      <c r="BH33" s="22" t="n">
        <v>375</v>
      </c>
      <c r="BI33" s="22" t="n">
        <v>687</v>
      </c>
      <c r="BK33" s="22" t="s">
        <v>183</v>
      </c>
      <c r="BL33" s="22" t="n">
        <v>830</v>
      </c>
      <c r="BM33" s="22" t="s">
        <v>98</v>
      </c>
    </row>
    <row r="34" s="22" customFormat="true" ht="15" hidden="false" customHeight="true" outlineLevel="0" collapsed="false">
      <c r="A34" s="21" t="s">
        <v>188</v>
      </c>
      <c r="B34" s="22" t="n">
        <v>190</v>
      </c>
      <c r="C34" s="23" t="n">
        <f aca="false">B34/$P34/10</f>
        <v>0.0343768206145128</v>
      </c>
      <c r="D34" s="22" t="n">
        <v>601</v>
      </c>
      <c r="E34" s="23" t="n">
        <f aca="false">D34/$P34/10</f>
        <v>0.108739311522748</v>
      </c>
      <c r="F34" s="24" t="n">
        <v>245.1</v>
      </c>
      <c r="G34" s="23" t="n">
        <f aca="false">F34/$P34/10</f>
        <v>0.0443460985927215</v>
      </c>
      <c r="H34" s="24" t="n">
        <v>712</v>
      </c>
      <c r="I34" s="23" t="n">
        <f aca="false">H34/$P34/10</f>
        <v>0.128822611987016</v>
      </c>
      <c r="J34" s="22" t="n">
        <f aca="false">L34*$J$37/100</f>
        <v>197.2</v>
      </c>
      <c r="K34" s="23" t="n">
        <f aca="false">J34/$P34/10</f>
        <v>0.035679521185168</v>
      </c>
      <c r="L34" s="22" t="n">
        <v>1160</v>
      </c>
      <c r="M34" s="22" t="n">
        <f aca="false">O34*$M$37/100</f>
        <v>965.6</v>
      </c>
      <c r="N34" s="23" t="n">
        <f aca="false">M34/$P34/10</f>
        <v>0.17470662097565</v>
      </c>
      <c r="O34" s="22" t="n">
        <v>7100</v>
      </c>
      <c r="P34" s="25" t="n">
        <v>552.698</v>
      </c>
      <c r="Q34" s="25" t="n">
        <f aca="false">100*P34/$P$36</f>
        <v>3.79610860028102</v>
      </c>
      <c r="R34" s="22" t="n">
        <f aca="false">H34+F34+B34+D34+J34+M34</f>
        <v>2910.9</v>
      </c>
      <c r="S34" s="25" t="n">
        <f aca="false">R34/P34</f>
        <v>5.26670984877818</v>
      </c>
      <c r="U34" s="25" t="n">
        <f aca="false">-T34+($Q$45 + $Q$46)*1000*Q34/100</f>
        <v>1686.46300286945</v>
      </c>
      <c r="V34" s="25" t="n">
        <f aca="false">U34/P34/10</f>
        <v>0.305132821698187</v>
      </c>
      <c r="W34" s="25" t="n">
        <f aca="false">ROUND(U34/P34 *100/1000, 2)</f>
        <v>0.31</v>
      </c>
      <c r="Y34" s="25" t="n">
        <f aca="false">-Q34*($Q$47)*10</f>
        <v>-911.066064067446</v>
      </c>
      <c r="Z34" s="25" t="n">
        <f aca="false">Y34/P34/10</f>
        <v>-0.16483976132851</v>
      </c>
      <c r="AC34" s="22" t="n">
        <v>601.2</v>
      </c>
      <c r="AH34" s="22" t="s">
        <v>189</v>
      </c>
      <c r="AI34" s="22" t="n">
        <v>1</v>
      </c>
      <c r="AJ34" s="22" t="n">
        <v>16</v>
      </c>
      <c r="AK34" s="22" t="n">
        <f aca="false">AI34+AJ34/100</f>
        <v>1.16</v>
      </c>
      <c r="AL34" s="22" t="n">
        <f aca="false">AK34*1000</f>
        <v>1160</v>
      </c>
      <c r="AO34" s="26" t="s">
        <v>190</v>
      </c>
      <c r="AP34" s="22" t="n">
        <v>7</v>
      </c>
      <c r="AQ34" s="22" t="n">
        <v>1</v>
      </c>
      <c r="AR34" s="26" t="n">
        <f aca="false">AP34+AQ34/10</f>
        <v>7.1</v>
      </c>
      <c r="AS34" s="26" t="n">
        <f aca="false">1000*AR34</f>
        <v>7100</v>
      </c>
      <c r="AU34" s="26" t="s">
        <v>189</v>
      </c>
      <c r="AV34" s="22" t="n">
        <v>1.16</v>
      </c>
      <c r="AW34" s="22" t="n">
        <v>2.58</v>
      </c>
      <c r="AX34" s="22" t="n">
        <v>3.23</v>
      </c>
      <c r="AY34" s="22" t="n">
        <v>0.8</v>
      </c>
      <c r="AZ34" s="22" t="n">
        <v>1.08</v>
      </c>
      <c r="BA34" s="26" t="s">
        <v>191</v>
      </c>
      <c r="BC34" s="26" t="n">
        <f aca="false">AV34*1000</f>
        <v>1160</v>
      </c>
      <c r="BE34" s="22" t="s">
        <v>192</v>
      </c>
      <c r="BF34" s="22" t="n">
        <v>270</v>
      </c>
      <c r="BG34" s="22" t="n">
        <v>140</v>
      </c>
      <c r="BH34" s="22" t="s">
        <v>50</v>
      </c>
      <c r="BI34" s="22" t="n">
        <v>190</v>
      </c>
      <c r="BK34" s="22" t="s">
        <v>189</v>
      </c>
      <c r="BL34" s="22" t="n">
        <v>601</v>
      </c>
      <c r="BM34" s="22" t="s">
        <v>193</v>
      </c>
    </row>
    <row r="35" s="36" customFormat="true" ht="15" hidden="false" customHeight="true" outlineLevel="0" collapsed="false">
      <c r="A35" s="31" t="s">
        <v>194</v>
      </c>
      <c r="B35" s="32" t="n">
        <v>5880</v>
      </c>
      <c r="C35" s="33"/>
      <c r="D35" s="34" t="n">
        <v>9616</v>
      </c>
      <c r="E35" s="33"/>
      <c r="F35" s="32" t="n">
        <v>8334.6</v>
      </c>
      <c r="G35" s="33"/>
      <c r="H35" s="32" t="n">
        <v>26264</v>
      </c>
      <c r="I35" s="33"/>
      <c r="J35" s="22" t="n">
        <f aca="false">SUM(J8:J34)</f>
        <v>7650</v>
      </c>
      <c r="K35" s="25"/>
      <c r="L35" s="22"/>
      <c r="M35" s="22" t="n">
        <f aca="false">SUM(M8:M34)</f>
        <v>40677.6</v>
      </c>
      <c r="N35" s="25"/>
      <c r="O35" s="22"/>
      <c r="P35" s="25"/>
      <c r="Q35" s="35" t="n">
        <v>100</v>
      </c>
      <c r="R35" s="22" t="n">
        <f aca="false">H35+F35+B35+D35+L35+M35</f>
        <v>90772.2</v>
      </c>
      <c r="S35" s="25"/>
      <c r="T35" s="22"/>
      <c r="U35" s="22" t="n">
        <f aca="false">SUM(U8:U34)</f>
        <v>37876.579621376</v>
      </c>
      <c r="V35" s="22"/>
      <c r="W35" s="36" t="e">
        <f aca="false">ROUND(U35/P35 *100/1000, 2)</f>
        <v>#DIV/0!</v>
      </c>
      <c r="Y35" s="25" t="n">
        <f aca="false">-Q35*($Q$47)*10</f>
        <v>-24000</v>
      </c>
      <c r="Z35" s="25"/>
      <c r="AC35" s="36" t="n">
        <v>18796</v>
      </c>
      <c r="AL35" s="36" t="n">
        <f aca="false">SUM(AL8:AL34)</f>
        <v>47600</v>
      </c>
      <c r="AR35" s="36" t="n">
        <f aca="false">SUM(AR8:AR34)</f>
        <v>299.1</v>
      </c>
      <c r="XEX35" s="22"/>
      <c r="XEY35" s="22"/>
      <c r="XEZ35" s="22"/>
      <c r="XFA35" s="22"/>
      <c r="XFB35" s="22"/>
      <c r="XFC35" s="22"/>
      <c r="XFD35" s="22"/>
    </row>
    <row r="36" customFormat="false" ht="13.8" hidden="false" customHeight="false" outlineLevel="0" collapsed="false">
      <c r="B36" s="1" t="n">
        <f aca="false">SUM(B8:B34)</f>
        <v>5880</v>
      </c>
      <c r="C36" s="2"/>
      <c r="D36" s="1" t="n">
        <f aca="false">SUM(D8:D34)</f>
        <v>9620</v>
      </c>
      <c r="E36" s="2"/>
      <c r="F36" s="1" t="n">
        <f aca="false">SUM(F8:F34)</f>
        <v>8334.5</v>
      </c>
      <c r="G36" s="2"/>
      <c r="H36" s="1" t="n">
        <f aca="false">SUM(H8:H34)</f>
        <v>26264</v>
      </c>
      <c r="I36" s="2"/>
      <c r="J36" s="2"/>
      <c r="L36" s="1" t="n">
        <f aca="false">SUM(L8:L34)</f>
        <v>45000</v>
      </c>
      <c r="M36" s="1" t="n">
        <f aca="false">SUM(M8:M34)</f>
        <v>40677.6</v>
      </c>
      <c r="O36" s="1" t="n">
        <f aca="false">SUM(O8:O34)</f>
        <v>299100</v>
      </c>
      <c r="P36" s="2" t="n">
        <f aca="false">SUM(P8:P34)</f>
        <v>14559.594</v>
      </c>
      <c r="Q36" s="2"/>
      <c r="R36" s="1" t="n">
        <f aca="false">SUM(R8:R34)</f>
        <v>98426.1</v>
      </c>
      <c r="S36" s="2"/>
    </row>
    <row r="37" customFormat="false" ht="15" hidden="false" customHeight="true" outlineLevel="0" collapsed="false">
      <c r="J37" s="37" t="n">
        <v>17</v>
      </c>
      <c r="K37" s="38"/>
      <c r="M37" s="37" t="n">
        <v>13.6</v>
      </c>
      <c r="N37" s="38"/>
    </row>
    <row r="38" customFormat="false" ht="13.8" hidden="false" customHeight="false" outlineLevel="0" collapsed="false">
      <c r="B38" s="39" t="s">
        <v>195</v>
      </c>
      <c r="C38" s="40" t="n">
        <f aca="false">SUM(B35:M35)</f>
        <v>98422.2</v>
      </c>
      <c r="D38" s="40"/>
      <c r="E38" s="40"/>
      <c r="J38" s="1" t="s">
        <v>196</v>
      </c>
      <c r="M38" s="41" t="s">
        <v>197</v>
      </c>
      <c r="N38" s="42"/>
      <c r="T38" s="1" t="s">
        <v>198</v>
      </c>
    </row>
    <row r="39" customFormat="false" ht="13.8" hidden="false" customHeight="false" outlineLevel="0" collapsed="false">
      <c r="B39" s="39"/>
      <c r="C39" s="40"/>
      <c r="D39" s="40"/>
      <c r="E39" s="40"/>
      <c r="T39" s="1" t="s">
        <v>199</v>
      </c>
    </row>
    <row r="40" customFormat="false" ht="16.4" hidden="false" customHeight="false" outlineLevel="0" collapsed="false">
      <c r="B40" s="39"/>
      <c r="C40" s="40"/>
      <c r="D40" s="40"/>
      <c r="E40" s="40"/>
      <c r="P40" s="43" t="s">
        <v>200</v>
      </c>
      <c r="Q40" s="44" t="n">
        <v>192.8</v>
      </c>
      <c r="R40" s="41"/>
      <c r="S40" s="41"/>
      <c r="T40" s="41" t="s">
        <v>201</v>
      </c>
      <c r="U40" s="41"/>
      <c r="V40" s="41"/>
    </row>
    <row r="41" customFormat="false" ht="13.8" hidden="false" customHeight="false" outlineLevel="0" collapsed="false">
      <c r="P41" s="43" t="s">
        <v>202</v>
      </c>
      <c r="Q41" s="43" t="n">
        <f aca="false">Q40*0.7</f>
        <v>134.96</v>
      </c>
      <c r="R41" s="41"/>
      <c r="S41" s="41"/>
      <c r="T41" s="41"/>
      <c r="U41" s="41"/>
      <c r="V41" s="41"/>
    </row>
    <row r="42" customFormat="false" ht="13.8" hidden="false" customHeight="false" outlineLevel="0" collapsed="false">
      <c r="P42" s="43"/>
      <c r="Q42" s="43"/>
      <c r="R42" s="41"/>
      <c r="S42" s="41"/>
      <c r="T42" s="41"/>
      <c r="U42" s="41"/>
      <c r="V42" s="41"/>
    </row>
    <row r="43" customFormat="false" ht="13.8" hidden="false" customHeight="false" outlineLevel="0" collapsed="false">
      <c r="P43" s="45" t="s">
        <v>203</v>
      </c>
      <c r="Q43" s="46" t="n">
        <v>30</v>
      </c>
      <c r="R43" s="41"/>
      <c r="S43" s="41"/>
      <c r="T43" s="41"/>
      <c r="U43" s="41"/>
      <c r="V43" s="41"/>
    </row>
    <row r="44" customFormat="false" ht="13.8" hidden="false" customHeight="false" outlineLevel="0" collapsed="false">
      <c r="P44" s="45" t="s">
        <v>204</v>
      </c>
      <c r="Q44" s="45" t="n">
        <f aca="false">R36/1000 -Q43</f>
        <v>68.4261</v>
      </c>
      <c r="R44" s="41"/>
      <c r="S44" s="41"/>
      <c r="T44" s="41"/>
      <c r="U44" s="41"/>
      <c r="V44" s="41"/>
    </row>
    <row r="45" customFormat="false" ht="13.8" hidden="false" customHeight="false" outlineLevel="0" collapsed="false">
      <c r="P45" s="45" t="s">
        <v>205</v>
      </c>
      <c r="Q45" s="45" t="n">
        <f aca="false">Q44-Q46-Q47</f>
        <v>30.4261</v>
      </c>
      <c r="R45" s="41"/>
      <c r="S45" s="41"/>
      <c r="T45" s="41"/>
      <c r="U45" s="41"/>
      <c r="V45" s="41"/>
    </row>
    <row r="46" customFormat="false" ht="13.8" hidden="false" customHeight="false" outlineLevel="0" collapsed="false">
      <c r="P46" s="45" t="s">
        <v>206</v>
      </c>
      <c r="Q46" s="46" t="n">
        <v>14</v>
      </c>
      <c r="R46" s="41"/>
      <c r="S46" s="41"/>
      <c r="T46" s="41"/>
      <c r="U46" s="41"/>
      <c r="V46" s="41"/>
    </row>
    <row r="47" customFormat="false" ht="13.8" hidden="false" customHeight="false" outlineLevel="0" collapsed="false">
      <c r="P47" s="45" t="s">
        <v>207</v>
      </c>
      <c r="Q47" s="46" t="n">
        <v>24</v>
      </c>
      <c r="R47" s="41"/>
      <c r="S47" s="41"/>
      <c r="T47" s="41"/>
      <c r="U47" s="41"/>
      <c r="V47" s="41"/>
    </row>
    <row r="48" customFormat="false" ht="13.8" hidden="false" customHeight="false" outlineLevel="0" collapsed="false">
      <c r="B48" s="41"/>
      <c r="C48" s="41"/>
      <c r="D48" s="41"/>
      <c r="E48" s="41"/>
      <c r="F48" s="41"/>
      <c r="G48" s="41"/>
      <c r="H48" s="41"/>
      <c r="I48" s="41"/>
      <c r="P48" s="45" t="s">
        <v>208</v>
      </c>
      <c r="Q48" s="45" t="n">
        <f aca="false">Q40+Q46</f>
        <v>206.8</v>
      </c>
      <c r="R48" s="41"/>
      <c r="S48" s="41"/>
      <c r="T48" s="41"/>
      <c r="U48" s="41"/>
      <c r="V48" s="41"/>
    </row>
    <row r="49" customFormat="false" ht="13.8" hidden="false" customHeight="false" outlineLevel="0" collapsed="false">
      <c r="B49" s="41"/>
      <c r="C49" s="41"/>
      <c r="D49" s="41"/>
      <c r="E49" s="41"/>
      <c r="F49" s="41"/>
      <c r="G49" s="41"/>
      <c r="H49" s="41"/>
      <c r="I49" s="41"/>
      <c r="P49" s="45" t="s">
        <v>202</v>
      </c>
      <c r="Q49" s="45" t="n">
        <f aca="false">Q41-Q45</f>
        <v>104.5339</v>
      </c>
      <c r="R49" s="41"/>
      <c r="S49" s="41"/>
      <c r="T49" s="41"/>
      <c r="U49" s="41"/>
      <c r="V49" s="41"/>
    </row>
    <row r="50" customFormat="false" ht="13.8" hidden="false" customHeight="false" outlineLevel="0" collapsed="false">
      <c r="B50" s="41"/>
      <c r="C50" s="41"/>
      <c r="D50" s="41"/>
      <c r="E50" s="41"/>
      <c r="F50" s="41"/>
      <c r="G50" s="41"/>
      <c r="H50" s="41"/>
      <c r="I50" s="41"/>
      <c r="P50" s="45" t="s">
        <v>209</v>
      </c>
      <c r="Q50" s="47" t="n">
        <f aca="false">Q49/Q48</f>
        <v>0.505483075435203</v>
      </c>
      <c r="R50" s="41"/>
      <c r="S50" s="41"/>
      <c r="T50" s="41"/>
      <c r="U50" s="41"/>
      <c r="V50" s="41"/>
    </row>
    <row r="53" customFormat="false" ht="18" hidden="false" customHeight="true" outlineLevel="0" collapsed="false">
      <c r="A53" s="48"/>
      <c r="U53" s="1" t="s">
        <v>210</v>
      </c>
      <c r="Y53" s="1" t="s">
        <v>211</v>
      </c>
      <c r="Z53" s="1"/>
    </row>
    <row r="55" customFormat="false" ht="18" hidden="false" customHeight="true" outlineLevel="0" collapsed="false">
      <c r="A55" s="48"/>
      <c r="J55" s="1" t="s">
        <v>5</v>
      </c>
      <c r="M55" s="1" t="s">
        <v>6</v>
      </c>
    </row>
  </sheetData>
  <mergeCells count="3">
    <mergeCell ref="A1:A3"/>
    <mergeCell ref="B38:B40"/>
    <mergeCell ref="C38:E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2458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2026-08-25T09:17:27Z</dcterms:created>
  <dc:creator>openpyxl</dc:creator>
  <dc:description/>
  <dc:language>fr-FR</dc:language>
  <cp:lastModifiedBy/>
  <dcterms:modified xsi:type="dcterms:W3CDTF">2026-09-07T10:04:04Z</dcterms:modified>
  <cp:revision>52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