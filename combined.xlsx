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<sst xmlns="http://schemas.openxmlformats.org/spreadsheetml/2006/main" count="112" uniqueCount="101">
  <si>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</si>
  <si>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</si>
  <si>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</si>
  <si>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</si>
  <si>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</si>
  <si>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</si>
  <si>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tax</t>
  </si>
  <si>
    <t xml:space="preserve">GNI</t>
  </si>
  <si>
    <t xml:space="preserve">GDP 2025 (Eurostat)</t>
  </si>
  <si>
    <t xml:space="preserve">M3 (2028)</t>
  </si>
  <si>
    <t xml:space="preserve">Yield (EUR m)</t>
  </si>
  <si>
    <t xml:space="preserve">Estimated revenue</t>
  </si>
  <si>
    <t xml:space="preserve">Central</t>
  </si>
  <si>
    <t xml:space="preserve">Rev. share</t>
  </si>
  <si>
    <t xml:space="preserve">Base</t>
  </si>
  <si>
    <t xml:space="preserve">Rev.</t>
  </si>
  <si>
    <t xml:space="preserve">GDP</t>
  </si>
  <si>
    <t xml:space="preserve">Ratio</t>
  </si>
  <si>
    <t xml:space="preserve">Share s</t>
  </si>
  <si>
    <t xml:space="preserve">Our scenario</t>
  </si>
  <si>
    <t xml:space="preserve">Scenario 0</t>
  </si>
  <si>
    <t xml:space="preserve">proj.</t>
  </si>
  <si>
    <t xml:space="preserve">EUR million, 0.5% rate</t>
  </si>
  <si>
    <t xml:space="preserve">(%)</t>
  </si>
  <si>
    <t xml:space="preserve">(EUR bn)</t>
  </si>
  <si>
    <t xml:space="preserve">NOR total (Ad 80%)</t>
  </si>
  <si>
    <t xml:space="preserve">rapporté au PIB ( %)</t>
  </si>
  <si>
    <t xml:space="preserve">50 bn répartis par s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</si>
  <si>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</si>
  <si>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</si>
  <si>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</si>
  <si>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</si>
  <si>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Luxury VAT</t>
  </si>
  <si>
    <t xml:space="preserve">Austria</t>
  </si>
  <si>
    <t xml:space="preserve">Austria        </t>
  </si>
  <si>
    <t xml:space="preserve">Belgium</t>
  </si>
  <si>
    <t xml:space="preserve">Belgium        </t>
  </si>
  <si>
    <t xml:space="preserve">Bulgaria</t>
  </si>
  <si>
    <t xml:space="preserve">Bulgaria       </t>
  </si>
  <si>
    <t xml:space="preserve">Croatia</t>
  </si>
  <si>
    <t xml:space="preserve">Croatia        </t>
  </si>
  <si>
    <t xml:space="preserve">Cyprus</t>
  </si>
  <si>
    <t xml:space="preserve">Cyprus         </t>
  </si>
  <si>
    <t xml:space="preserve">Czechia</t>
  </si>
  <si>
    <t xml:space="preserve">Czechia        </t>
  </si>
  <si>
    <t xml:space="preserve">Denmark</t>
  </si>
  <si>
    <t xml:space="preserve">Denmark        </t>
  </si>
  <si>
    <t xml:space="preserve">Estonia</t>
  </si>
  <si>
    <t xml:space="preserve">Estonia        </t>
  </si>
  <si>
    <t xml:space="preserve">Finland</t>
  </si>
  <si>
    <t xml:space="preserve">Finland        </t>
  </si>
  <si>
    <t xml:space="preserve">France</t>
  </si>
  <si>
    <t xml:space="preserve">France         </t>
  </si>
  <si>
    <t xml:space="preserve">Germany</t>
  </si>
  <si>
    <t xml:space="preserve">Germany        </t>
  </si>
  <si>
    <t xml:space="preserve">Greece</t>
  </si>
  <si>
    <t xml:space="preserve">Greece         </t>
  </si>
  <si>
    <t xml:space="preserve">Hungary</t>
  </si>
  <si>
    <t xml:space="preserve">Hungary        </t>
  </si>
  <si>
    <t xml:space="preserve">Ireland</t>
  </si>
  <si>
    <t xml:space="preserve">Ireland        </t>
  </si>
  <si>
    <t xml:space="preserve">Italy</t>
  </si>
  <si>
    <t xml:space="preserve">Italy          </t>
  </si>
  <si>
    <t xml:space="preserve">Latvia</t>
  </si>
  <si>
    <t xml:space="preserve">Latvia         </t>
  </si>
  <si>
    <t xml:space="preserve">Lithuania</t>
  </si>
  <si>
    <t xml:space="preserve">Lithuania      </t>
  </si>
  <si>
    <t xml:space="preserve">Luxembourg</t>
  </si>
  <si>
    <t xml:space="preserve">Luxembourg     </t>
  </si>
  <si>
    <t xml:space="preserve">Malta</t>
  </si>
  <si>
    <t xml:space="preserve">Malta          </t>
  </si>
  <si>
    <t xml:space="preserve">Netherlands</t>
  </si>
  <si>
    <t xml:space="preserve">Netherlands    </t>
  </si>
  <si>
    <t xml:space="preserve">Poland</t>
  </si>
  <si>
    <t xml:space="preserve">Poland         </t>
  </si>
  <si>
    <t xml:space="preserve">Portugal</t>
  </si>
  <si>
    <t xml:space="preserve">Portugal       </t>
  </si>
  <si>
    <t xml:space="preserve">Romania</t>
  </si>
  <si>
    <t xml:space="preserve">Romania        </t>
  </si>
  <si>
    <t xml:space="preserve">Slovakia</t>
  </si>
  <si>
    <t xml:space="preserve">Slovakia       </t>
  </si>
  <si>
    <t xml:space="preserve">Slovenia</t>
  </si>
  <si>
    <t xml:space="preserve">Slovenia       </t>
  </si>
  <si>
    <t xml:space="preserve">Spain</t>
  </si>
  <si>
    <t xml:space="preserve">Spain          </t>
  </si>
  <si>
    <t xml:space="preserve">Sweden</t>
  </si>
  <si>
    <t xml:space="preserve">Sweden         </t>
  </si>
  <si>
    <t xml:space="preserve">European Union</t>
  </si>
  <si>
    <t xml:space="preserve">TOTAL</t>
  </si>
  <si>
    <t xml:space="preserve">Budget 2026 </t>
  </si>
  <si>
    <t xml:space="preserve">share GNI</t>
  </si>
  <si>
    <t xml:space="preserve">Reward fund</t>
  </si>
  <si>
    <t xml:space="preserve">ajustable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</si>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</sst>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8A65"/>
        <bgColor rgb="FFFF9800"/>
      </patternFill>
    </fill>
    <fill>
      <patternFill patternType="solid">
        <fgColor rgb="FF650953"/>
        <bgColor rgb="FF800080"/>
      </patternFill>
    </fill>
    <fill>
      <patternFill patternType="solid">
        <fgColor rgb="FF5983B0"/>
        <bgColor rgb="FF8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00A933"/>
        <bgColor rgb="FF008000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7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00A933"/>
      <rgbColor rgb="FF003300"/>
      <rgbColor rgb="FF333300"/>
      <rgbColor rgb="FFB85C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Combined_2!$C$5:$C$31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Combined_2!$E$5:$E$31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Combined_2!$G$5:$G$31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Combined_2!$I$5:$I$31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Combined_2!$L$1:$L$1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29fc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Combined_2!$L$5:$L$31</c:f>
              <c:numCache>
                <c:formatCode>#,##0</c:formatCode>
                <c:ptCount val="27"/>
                <c:pt idx="0">
                  <c:v>4657.15952487168</c:v>
                </c:pt>
                <c:pt idx="1">
                  <c:v>2169.79643364368</c:v>
                </c:pt>
                <c:pt idx="2">
                  <c:v>5158.47996790279</c:v>
                </c:pt>
                <c:pt idx="3">
                  <c:v>6499.28165834303</c:v>
                </c:pt>
                <c:pt idx="4">
                  <c:v>13187.8126421101</c:v>
                </c:pt>
                <c:pt idx="5">
                  <c:v>1933.44553176343</c:v>
                </c:pt>
                <c:pt idx="6">
                  <c:v>3243.71494347899</c:v>
                </c:pt>
                <c:pt idx="7">
                  <c:v>29127.1562186479</c:v>
                </c:pt>
                <c:pt idx="8">
                  <c:v>2819.03001875438</c:v>
                </c:pt>
                <c:pt idx="9">
                  <c:v>2089.57681797067</c:v>
                </c:pt>
                <c:pt idx="10">
                  <c:v>1716.04864783411</c:v>
                </c:pt>
                <c:pt idx="11">
                  <c:v>14042.3814552109</c:v>
                </c:pt>
                <c:pt idx="12">
                  <c:v>2484.48873250786</c:v>
                </c:pt>
                <c:pt idx="13">
                  <c:v>2905.88937217333</c:v>
                </c:pt>
                <c:pt idx="14">
                  <c:v>3919.55809876625</c:v>
                </c:pt>
                <c:pt idx="15">
                  <c:v>5442.1768707483</c:v>
                </c:pt>
                <c:pt idx="16">
                  <c:v>2591.82464454976</c:v>
                </c:pt>
                <c:pt idx="17">
                  <c:v>4160.88765603329</c:v>
                </c:pt>
                <c:pt idx="18">
                  <c:v>19692.2179272117</c:v>
                </c:pt>
                <c:pt idx="19">
                  <c:v>2365.15058125367</c:v>
                </c:pt>
                <c:pt idx="20">
                  <c:v>2171.88557995733</c:v>
                </c:pt>
                <c:pt idx="21">
                  <c:v>9203.53982300885</c:v>
                </c:pt>
                <c:pt idx="22">
                  <c:v>2879.5422456714</c:v>
                </c:pt>
                <c:pt idx="23">
                  <c:v>4111.08141996752</c:v>
                </c:pt>
                <c:pt idx="24">
                  <c:v>5828.52480037303</c:v>
                </c:pt>
                <c:pt idx="25">
                  <c:v>7690.56401590867</c:v>
                </c:pt>
                <c:pt idx="26">
                  <c:v>2098.79536383341</c:v>
                </c:pt>
              </c:numCache>
            </c:numRef>
          </c:val>
        </c:ser>
        <c:ser>
          <c:idx val="5"/>
          <c:order val="5"/>
          <c:tx>
            <c:strRef>
              <c:f>Combined_2!$P$1:$P$1</c:f>
              <c:strCache>
                <c:ptCount val="1"/>
                <c:pt idx="0">
                  <c:v>Luxury tax</c:v>
                </c:pt>
              </c:strCache>
            </c:strRef>
          </c:tx>
          <c:spPr>
            <a:solidFill>
              <a:srgbClr val="b85c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Combined_2!$P$5:$P$31</c:f>
              <c:numCache>
                <c:formatCode>#,##0</c:formatCode>
                <c:ptCount val="27"/>
                <c:pt idx="0">
                  <c:v>3559.05033163878</c:v>
                </c:pt>
                <c:pt idx="1">
                  <c:v>2864.13129240966</c:v>
                </c:pt>
                <c:pt idx="2">
                  <c:v>4203.20589977264</c:v>
                </c:pt>
                <c:pt idx="3">
                  <c:v>6020.38722035986</c:v>
                </c:pt>
                <c:pt idx="4">
                  <c:v>10004.5475216007</c:v>
                </c:pt>
                <c:pt idx="5">
                  <c:v>2900.16829764515</c:v>
                </c:pt>
                <c:pt idx="6">
                  <c:v>1768.25522582571</c:v>
                </c:pt>
                <c:pt idx="7">
                  <c:v>2847.98860804557</c:v>
                </c:pt>
                <c:pt idx="8">
                  <c:v>1722.74056701657</c:v>
                </c:pt>
                <c:pt idx="9">
                  <c:v>3537.5214977838</c:v>
                </c:pt>
                <c:pt idx="10">
                  <c:v>2276.98204959488</c:v>
                </c:pt>
                <c:pt idx="11">
                  <c:v>5108.33089158065</c:v>
                </c:pt>
                <c:pt idx="12">
                  <c:v>2659.07442722462</c:v>
                </c:pt>
                <c:pt idx="13">
                  <c:v>1768.2645966842</c:v>
                </c:pt>
                <c:pt idx="14">
                  <c:v>4584.39453577217</c:v>
                </c:pt>
                <c:pt idx="15">
                  <c:v>2660.61980347695</c:v>
                </c:pt>
                <c:pt idx="16">
                  <c:v>2443.72037914692</c:v>
                </c:pt>
                <c:pt idx="17">
                  <c:v>5230.83019615613</c:v>
                </c:pt>
                <c:pt idx="18">
                  <c:v>9627.3065421924</c:v>
                </c:pt>
                <c:pt idx="19">
                  <c:v>1944.67936680858</c:v>
                </c:pt>
                <c:pt idx="20">
                  <c:v>2168.23535209186</c:v>
                </c:pt>
                <c:pt idx="21">
                  <c:v>4361.06194690266</c:v>
                </c:pt>
                <c:pt idx="22">
                  <c:v>2247.90072081445</c:v>
                </c:pt>
                <c:pt idx="23">
                  <c:v>1808.87582478571</c:v>
                </c:pt>
                <c:pt idx="24">
                  <c:v>3419.40121621884</c:v>
                </c:pt>
                <c:pt idx="25">
                  <c:v>3735.65231726668</c:v>
                </c:pt>
                <c:pt idx="26">
                  <c:v>1910.62750362766</c:v>
                </c:pt>
              </c:numCache>
            </c:numRef>
          </c:val>
        </c:ser>
        <c:gapWidth val="100"/>
        <c:overlap val="100"/>
        <c:axId val="36144290"/>
        <c:axId val="94750663"/>
      </c:barChart>
      <c:catAx>
        <c:axId val="3614429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4750663"/>
        <c:crosses val="autoZero"/>
        <c:auto val="1"/>
        <c:lblAlgn val="ctr"/>
        <c:lblOffset val="100"/>
        <c:noMultiLvlLbl val="0"/>
      </c:catAx>
      <c:valAx>
        <c:axId val="94750663"/>
        <c:scaling>
          <c:orientation val="minMax"/>
        </c:scaling>
        <c:delete val="0"/>
        <c:axPos val="l"/>
        <c:numFmt formatCode="#,##0" sourceLinked="0"/>
        <c:majorTickMark val="out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6144290"/>
        <c:crossesAt val="0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700560</xdr:colOff>
      <xdr:row>40</xdr:row>
      <xdr:rowOff>97200</xdr:rowOff>
    </xdr:from>
    <xdr:to>
      <xdr:col>7</xdr:col>
      <xdr:colOff>1158480</xdr:colOff>
      <xdr:row>72</xdr:row>
      <xdr:rowOff>39600</xdr:rowOff>
    </xdr:to>
    <xdr:graphicFrame>
      <xdr:nvGraphicFramePr>
        <xdr:cNvPr id="0" name=""/>
        <xdr:cNvGraphicFramePr/>
      </xdr:nvGraphicFramePr>
      <xdr:xfrm>
        <a:off x="2460960" y="7986600"/>
        <a:ext cx="10059120" cy="565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4" topLeftCell="K22" activePane="bottomRight" state="frozen"/>
      <selection pane="topLeft" activeCell="A1" activeCellId="0" sqref="A1"/>
      <selection pane="topRight" activeCell="K1" activeCellId="0" sqref="K1"/>
      <selection pane="bottomLeft" activeCell="A22" activeCellId="0" sqref="A22"/>
      <selection pane="bottomRight" activeCell="Z28" activeCellId="0" sqref="Z28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10" min="9" style="1" width="15.07"/>
    <col collapsed="false" customWidth="true" hidden="false" outlineLevel="0" max="11" min="11" style="1" width="18.25"/>
    <col collapsed="false" customWidth="false" hidden="false" outlineLevel="0" max="12" min="12" style="1" width="8.59"/>
    <col collapsed="false" customWidth="true" hidden="false" outlineLevel="0" max="19" min="19" style="1" width="18.88"/>
    <col collapsed="false" customWidth="true" hidden="false" outlineLevel="0" max="21" min="21" style="2" width="10.41"/>
    <col collapsed="false" customWidth="true" hidden="false" outlineLevel="0" max="22" min="22" style="1" width="14.58"/>
    <col collapsed="false" customWidth="true" hidden="false" outlineLevel="0" max="23" min="23" style="1" width="11.76"/>
    <col collapsed="false" customWidth="true" hidden="false" outlineLevel="0" max="33" min="33" style="1" width="11.79"/>
    <col collapsed="false" customWidth="true" hidden="false" outlineLevel="0" max="16384" min="16341" style="1" width="10.16"/>
  </cols>
  <sheetData>
    <row r="1" s="5" customFormat="true" ht="19.5" hidden="false" customHeight="true" outlineLevel="0" collapsed="false">
      <c r="A1" s="3" t="s">
        <v>0</v>
      </c>
      <c r="B1" s="4"/>
      <c r="C1" s="4" t="s">
        <v>1</v>
      </c>
      <c r="D1" s="4"/>
      <c r="E1" s="4" t="s">
        <v>2</v>
      </c>
      <c r="F1" s="4"/>
      <c r="G1" s="4" t="s">
        <v>3</v>
      </c>
      <c r="H1" s="3"/>
      <c r="I1" s="3" t="s">
        <v>4</v>
      </c>
      <c r="J1" s="5" t="s">
        <v>5</v>
      </c>
      <c r="L1" s="5" t="s">
        <v>5</v>
      </c>
      <c r="M1" s="5" t="s">
        <v>6</v>
      </c>
      <c r="P1" s="5" t="s">
        <v>6</v>
      </c>
      <c r="S1" s="1" t="s">
        <v>7</v>
      </c>
      <c r="U1" s="6"/>
      <c r="AB1" s="5" t="s">
        <v>8</v>
      </c>
      <c r="XFD1" s="1"/>
    </row>
    <row r="2" s="8" customFormat="true" ht="30" hidden="false" customHeight="true" outlineLevel="0" collapsed="false">
      <c r="A2" s="3"/>
      <c r="B2" s="7" t="s">
        <v>9</v>
      </c>
      <c r="C2" s="7"/>
      <c r="D2" s="7" t="s">
        <v>10</v>
      </c>
      <c r="E2" s="7"/>
      <c r="F2" s="7" t="s">
        <v>11</v>
      </c>
      <c r="G2" s="7"/>
      <c r="H2" s="7" t="s">
        <v>12</v>
      </c>
      <c r="I2" s="7"/>
      <c r="J2" s="8" t="s">
        <v>13</v>
      </c>
      <c r="M2" s="8" t="s">
        <v>14</v>
      </c>
      <c r="N2" s="8" t="s">
        <v>15</v>
      </c>
      <c r="Q2" s="8" t="s">
        <v>16</v>
      </c>
      <c r="R2" s="8" t="s">
        <v>17</v>
      </c>
      <c r="S2" s="1"/>
      <c r="T2" s="8" t="s">
        <v>18</v>
      </c>
      <c r="U2" s="6"/>
      <c r="V2" s="8" t="s">
        <v>19</v>
      </c>
      <c r="Y2" s="8" t="s">
        <v>20</v>
      </c>
      <c r="AB2" s="8" t="s">
        <v>16</v>
      </c>
      <c r="XFD2" s="1"/>
    </row>
    <row r="3" s="8" customFormat="true" ht="19.5" hidden="false" customHeight="true" outlineLevel="0" collapsed="false">
      <c r="A3" s="3"/>
      <c r="B3" s="7" t="s">
        <v>21</v>
      </c>
      <c r="C3" s="7"/>
      <c r="D3" s="7"/>
      <c r="E3" s="7"/>
      <c r="F3" s="7" t="s">
        <v>22</v>
      </c>
      <c r="G3" s="7"/>
      <c r="H3" s="7"/>
      <c r="I3" s="7"/>
      <c r="J3" s="8" t="s">
        <v>23</v>
      </c>
      <c r="M3" s="8" t="s">
        <v>24</v>
      </c>
      <c r="N3" s="8" t="s">
        <v>23</v>
      </c>
      <c r="Q3" s="8" t="s">
        <v>23</v>
      </c>
      <c r="S3" s="1"/>
      <c r="T3" s="8" t="s">
        <v>23</v>
      </c>
      <c r="U3" s="6" t="s">
        <v>25</v>
      </c>
      <c r="V3" s="9"/>
      <c r="W3" s="8" t="s">
        <v>26</v>
      </c>
      <c r="Y3" s="8" t="s">
        <v>27</v>
      </c>
      <c r="AB3" s="8" t="s">
        <v>24</v>
      </c>
      <c r="XFD3" s="1"/>
    </row>
    <row r="4" s="12" customFormat="true" ht="18" hidden="false" customHeight="true" outlineLevel="0" collapsed="false">
      <c r="A4" s="10"/>
      <c r="B4" s="11" t="s">
        <v>28</v>
      </c>
      <c r="C4" s="11"/>
      <c r="D4" s="11" t="s">
        <v>29</v>
      </c>
      <c r="E4" s="11"/>
      <c r="F4" s="11" t="s">
        <v>30</v>
      </c>
      <c r="G4" s="11"/>
      <c r="H4" s="11" t="s">
        <v>31</v>
      </c>
      <c r="I4" s="11"/>
      <c r="K4" s="11" t="s">
        <v>5</v>
      </c>
      <c r="L4" s="11"/>
      <c r="O4" s="11" t="s">
        <v>32</v>
      </c>
      <c r="P4" s="11"/>
      <c r="S4" s="1"/>
      <c r="U4" s="2"/>
      <c r="AB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FD4" s="1"/>
    </row>
    <row r="5" customFormat="false" ht="15" hidden="false" customHeight="true" outlineLevel="0" collapsed="false">
      <c r="A5" s="13" t="s">
        <v>33</v>
      </c>
      <c r="B5" s="14" t="n">
        <v>141</v>
      </c>
      <c r="C5" s="14" t="n">
        <f aca="false">1000*B5/$S5</f>
        <v>345.61025947732</v>
      </c>
      <c r="D5" s="15" t="n">
        <v>330</v>
      </c>
      <c r="E5" s="14" t="n">
        <f aca="false">1000*D5/$S5</f>
        <v>808.87507537245</v>
      </c>
      <c r="F5" s="16" t="n">
        <v>26.4</v>
      </c>
      <c r="G5" s="14" t="n">
        <f aca="false">1000*F5/$S5</f>
        <v>64.710006029796</v>
      </c>
      <c r="H5" s="14" t="n">
        <v>920</v>
      </c>
      <c r="I5" s="14" t="n">
        <f aca="false">1000*H5/$S5</f>
        <v>2255.04566467471</v>
      </c>
      <c r="J5" s="1" t="n">
        <v>2.09</v>
      </c>
      <c r="K5" s="1" t="n">
        <v>1900</v>
      </c>
      <c r="L5" s="14" t="n">
        <f aca="false">1000*K5/$S5</f>
        <v>4657.15952487168</v>
      </c>
      <c r="M5" s="1" t="n">
        <v>9.9</v>
      </c>
      <c r="N5" s="1" t="n">
        <v>3.3</v>
      </c>
      <c r="O5" s="1" t="n">
        <f aca="false">N5*N$34/100*1000</f>
        <v>1452</v>
      </c>
      <c r="P5" s="14" t="n">
        <f aca="false">1000*O5/$S5</f>
        <v>3559.05033163878</v>
      </c>
      <c r="Q5" s="1" t="n">
        <v>2.8</v>
      </c>
      <c r="R5" s="1" t="n">
        <v>1.18</v>
      </c>
      <c r="S5" s="1" t="n">
        <v>407.974</v>
      </c>
      <c r="T5" s="1" t="n">
        <v>2.74</v>
      </c>
      <c r="U5" s="2" t="n">
        <f aca="false">H5+F5+B5+0.8*D5+K5+O5</f>
        <v>4703.4</v>
      </c>
      <c r="V5" s="1" t="n">
        <f aca="false">U5-$T$42*1000*T5/100</f>
        <v>3043.28606</v>
      </c>
      <c r="W5" s="1" t="n">
        <f aca="false">V5/S5</f>
        <v>7.45950982170432</v>
      </c>
      <c r="Y5" s="1" t="n">
        <f aca="false">T5*50000/100</f>
        <v>1370</v>
      </c>
      <c r="AB5" s="1" t="n">
        <v>514.3</v>
      </c>
      <c r="AG5" s="1" t="s">
        <v>34</v>
      </c>
      <c r="AH5" s="1" t="n">
        <v>1</v>
      </c>
      <c r="AI5" s="1" t="n">
        <v>90</v>
      </c>
      <c r="AJ5" s="1" t="n">
        <f aca="false">AH5+AI5/100</f>
        <v>1.9</v>
      </c>
      <c r="AK5" s="1" t="n">
        <f aca="false">AJ5*1000</f>
        <v>1900</v>
      </c>
    </row>
    <row r="6" customFormat="false" ht="15" hidden="false" customHeight="true" outlineLevel="0" collapsed="false">
      <c r="A6" s="17" t="s">
        <v>35</v>
      </c>
      <c r="B6" s="18" t="n">
        <v>200</v>
      </c>
      <c r="C6" s="14" t="n">
        <f aca="false">1000*B6/$S6</f>
        <v>394.508442480669</v>
      </c>
      <c r="D6" s="19" t="n">
        <v>184</v>
      </c>
      <c r="E6" s="14" t="n">
        <f aca="false">1000*D6/$S6</f>
        <v>362.947767082216</v>
      </c>
      <c r="F6" s="20" t="n">
        <v>61.1</v>
      </c>
      <c r="G6" s="14" t="n">
        <f aca="false">1000*F6/$S6</f>
        <v>120.522329177844</v>
      </c>
      <c r="H6" s="18" t="n">
        <v>722</v>
      </c>
      <c r="I6" s="14" t="n">
        <f aca="false">1000*H6/$S6</f>
        <v>1424.17547735522</v>
      </c>
      <c r="J6" s="1" t="n">
        <v>3.36</v>
      </c>
      <c r="K6" s="1" t="n">
        <v>1100</v>
      </c>
      <c r="L6" s="14" t="n">
        <f aca="false">1000*K6/$S6</f>
        <v>2169.79643364368</v>
      </c>
      <c r="M6" s="1" t="n">
        <v>9.8</v>
      </c>
      <c r="N6" s="1" t="n">
        <v>3.3</v>
      </c>
      <c r="O6" s="1" t="n">
        <f aca="false">N6*N$34/100*1000</f>
        <v>1452</v>
      </c>
      <c r="P6" s="14" t="n">
        <f aca="false">1000*O6/$S6</f>
        <v>2864.13129240966</v>
      </c>
      <c r="Q6" s="1" t="n">
        <v>3.5</v>
      </c>
      <c r="R6" s="1" t="n">
        <v>0.93</v>
      </c>
      <c r="S6" s="1" t="n">
        <v>506.96</v>
      </c>
      <c r="T6" s="1" t="n">
        <v>3.42</v>
      </c>
      <c r="U6" s="2" t="n">
        <f aca="false">H6+F6+B6+0.8*D6+K6+O6</f>
        <v>3682.3</v>
      </c>
      <c r="V6" s="1" t="n">
        <f aca="false">U6-$T$42*1000*T6/100</f>
        <v>1610.18698</v>
      </c>
      <c r="W6" s="1" t="n">
        <f aca="false">V6/S6</f>
        <v>3.17616178791226</v>
      </c>
      <c r="Y6" s="1" t="n">
        <f aca="false">T6*50000/100</f>
        <v>1710</v>
      </c>
      <c r="AB6" s="1" t="n">
        <v>642</v>
      </c>
      <c r="AG6" s="1" t="s">
        <v>36</v>
      </c>
      <c r="AH6" s="1" t="n">
        <v>1</v>
      </c>
      <c r="AI6" s="1" t="n">
        <v>10</v>
      </c>
      <c r="AJ6" s="1" t="n">
        <f aca="false">AH6+AI6/100</f>
        <v>1.1</v>
      </c>
      <c r="AK6" s="1" t="n">
        <f aca="false">AJ6*1000</f>
        <v>1100</v>
      </c>
    </row>
    <row r="7" customFormat="false" ht="15" hidden="false" customHeight="true" outlineLevel="0" collapsed="false">
      <c r="A7" s="13" t="s">
        <v>37</v>
      </c>
      <c r="B7" s="14" t="n">
        <v>38</v>
      </c>
      <c r="C7" s="14" t="n">
        <f aca="false">1000*B7/$S7</f>
        <v>726.008291778911</v>
      </c>
      <c r="D7" s="15" t="n">
        <v>18</v>
      </c>
      <c r="E7" s="14" t="n">
        <f aca="false">1000*D7/$S7</f>
        <v>343.898664526853</v>
      </c>
      <c r="F7" s="16" t="n">
        <v>0.2</v>
      </c>
      <c r="G7" s="14" t="n">
        <f aca="false">1000*F7/$S7</f>
        <v>3.82109627252059</v>
      </c>
      <c r="H7" s="14" t="n">
        <v>40</v>
      </c>
      <c r="I7" s="14" t="n">
        <f aca="false">1000*H7/$S7</f>
        <v>764.219254504117</v>
      </c>
      <c r="J7" s="1" t="n">
        <v>0.4</v>
      </c>
      <c r="K7" s="1" t="n">
        <v>270</v>
      </c>
      <c r="L7" s="14" t="n">
        <f aca="false">1000*K7/$S7</f>
        <v>5158.47996790279</v>
      </c>
      <c r="M7" s="1" t="n">
        <v>1.6</v>
      </c>
      <c r="N7" s="1" t="n">
        <v>0.5</v>
      </c>
      <c r="O7" s="1" t="n">
        <f aca="false">N7*N$34/100*1000</f>
        <v>220</v>
      </c>
      <c r="P7" s="14" t="n">
        <f aca="false">1000*O7/$S7</f>
        <v>4203.20589977264</v>
      </c>
      <c r="Q7" s="1" t="n">
        <v>0.6</v>
      </c>
      <c r="R7" s="1" t="n">
        <v>0.88</v>
      </c>
      <c r="S7" s="1" t="n">
        <v>52.341</v>
      </c>
      <c r="T7" s="1" t="n">
        <v>0.62</v>
      </c>
      <c r="U7" s="2" t="n">
        <f aca="false">H7+F7+B7+0.8*D7+K7+O7</f>
        <v>582.6</v>
      </c>
      <c r="V7" s="1" t="n">
        <f aca="false">U7-$T$42*1000*T7/100</f>
        <v>206.95378</v>
      </c>
      <c r="W7" s="1" t="n">
        <f aca="false">V7/S7</f>
        <v>3.95395158671023</v>
      </c>
      <c r="Y7" s="1" t="n">
        <f aca="false">T7*50000/100</f>
        <v>310</v>
      </c>
      <c r="AB7" s="1" t="n">
        <v>116</v>
      </c>
      <c r="AG7" s="1" t="s">
        <v>38</v>
      </c>
      <c r="AH7" s="1" t="n">
        <v>0</v>
      </c>
      <c r="AI7" s="1" t="n">
        <v>27</v>
      </c>
      <c r="AJ7" s="1" t="n">
        <f aca="false">AH7+AI7/100</f>
        <v>0.27</v>
      </c>
      <c r="AK7" s="1" t="n">
        <f aca="false">AJ7*1000</f>
        <v>270</v>
      </c>
    </row>
    <row r="8" customFormat="false" ht="15" hidden="false" customHeight="true" outlineLevel="0" collapsed="false">
      <c r="A8" s="17" t="s">
        <v>39</v>
      </c>
      <c r="B8" s="18" t="n">
        <v>46</v>
      </c>
      <c r="C8" s="14" t="n">
        <f aca="false">1000*B8/$S8</f>
        <v>786.755148115208</v>
      </c>
      <c r="D8" s="19" t="n">
        <v>26</v>
      </c>
      <c r="E8" s="14" t="n">
        <f aca="false">1000*D8/$S8</f>
        <v>444.687692412944</v>
      </c>
      <c r="F8" s="20" t="n">
        <v>0.3</v>
      </c>
      <c r="G8" s="14" t="n">
        <f aca="false">1000*F8/$S8</f>
        <v>5.13101183553397</v>
      </c>
      <c r="H8" s="18" t="n">
        <v>36</v>
      </c>
      <c r="I8" s="14" t="n">
        <f aca="false">1000*H8/$S8</f>
        <v>615.721420264076</v>
      </c>
      <c r="J8" s="1" t="n">
        <v>0.39</v>
      </c>
      <c r="K8" s="1" t="n">
        <v>380</v>
      </c>
      <c r="L8" s="14" t="n">
        <f aca="false">1000*K8/$S8</f>
        <v>6499.28165834303</v>
      </c>
      <c r="M8" s="1" t="n">
        <v>2.3</v>
      </c>
      <c r="N8" s="1" t="n">
        <v>0.8</v>
      </c>
      <c r="O8" s="1" t="n">
        <f aca="false">N8*N$34/100*1000</f>
        <v>352</v>
      </c>
      <c r="P8" s="14" t="n">
        <f aca="false">1000*O8/$S8</f>
        <v>6020.38722035986</v>
      </c>
      <c r="Q8" s="1" t="n">
        <v>0.5</v>
      </c>
      <c r="R8" s="1" t="n">
        <v>1.55</v>
      </c>
      <c r="S8" s="1" t="n">
        <v>58.468</v>
      </c>
      <c r="T8" s="1" t="n">
        <v>0.49</v>
      </c>
      <c r="U8" s="2" t="n">
        <f aca="false">H8+F8+B8+D8+K8+O8</f>
        <v>840.3</v>
      </c>
      <c r="V8" s="1" t="n">
        <f aca="false">U8-$T$42*1000*T8/100</f>
        <v>543.41831</v>
      </c>
      <c r="W8" s="1" t="n">
        <f aca="false">ROUND(V8/S8 *100/1000, 2)</f>
        <v>0.93</v>
      </c>
      <c r="Y8" s="1" t="n">
        <f aca="false">T8*50000/100</f>
        <v>245</v>
      </c>
      <c r="AB8" s="1" t="n">
        <v>93</v>
      </c>
      <c r="AG8" s="1" t="s">
        <v>40</v>
      </c>
      <c r="AH8" s="1" t="n">
        <v>0</v>
      </c>
      <c r="AI8" s="1" t="n">
        <v>38</v>
      </c>
      <c r="AJ8" s="1" t="n">
        <f aca="false">AH8+AI8/100</f>
        <v>0.38</v>
      </c>
      <c r="AK8" s="1" t="n">
        <f aca="false">AJ8*1000</f>
        <v>380</v>
      </c>
    </row>
    <row r="9" customFormat="false" ht="15" hidden="false" customHeight="true" outlineLevel="0" collapsed="false">
      <c r="A9" s="13" t="s">
        <v>41</v>
      </c>
      <c r="B9" s="14" t="n">
        <v>16</v>
      </c>
      <c r="C9" s="14" t="n">
        <f aca="false">1000*B9/$S9</f>
        <v>727.603456116417</v>
      </c>
      <c r="D9" s="21"/>
      <c r="E9" s="14" t="n">
        <f aca="false">1000*D9/$S9</f>
        <v>0</v>
      </c>
      <c r="F9" s="16" t="n">
        <v>0.8</v>
      </c>
      <c r="G9" s="14" t="n">
        <f aca="false">1000*F9/$S9</f>
        <v>36.3801728058208</v>
      </c>
      <c r="H9" s="14" t="n">
        <v>46</v>
      </c>
      <c r="I9" s="14" t="n">
        <f aca="false">1000*H9/$S9</f>
        <v>2091.8599363347</v>
      </c>
      <c r="J9" s="1" t="n">
        <v>0.8</v>
      </c>
      <c r="K9" s="1" t="n">
        <v>290</v>
      </c>
      <c r="L9" s="14" t="n">
        <f aca="false">1000*K9/$S9</f>
        <v>13187.8126421101</v>
      </c>
      <c r="M9" s="1" t="n">
        <v>1.5</v>
      </c>
      <c r="N9" s="1" t="n">
        <v>0.5</v>
      </c>
      <c r="O9" s="1" t="n">
        <f aca="false">N9*N$34/100*1000</f>
        <v>220</v>
      </c>
      <c r="P9" s="14" t="n">
        <f aca="false">1000*O9/$S9</f>
        <v>10004.5475216007</v>
      </c>
      <c r="Q9" s="1" t="n">
        <v>0.2</v>
      </c>
      <c r="R9" s="1" t="n">
        <v>2.44</v>
      </c>
      <c r="S9" s="1" t="n">
        <v>21.99</v>
      </c>
      <c r="T9" s="1" t="n">
        <v>0.19</v>
      </c>
      <c r="U9" s="2" t="n">
        <f aca="false">H9+F9+B9+D9+K9+O9</f>
        <v>572.8</v>
      </c>
      <c r="V9" s="1" t="n">
        <f aca="false">U9-$T$42*1000*T9/100</f>
        <v>457.68261</v>
      </c>
      <c r="W9" s="1" t="n">
        <f aca="false">ROUND(V9/S9 *100/1000, 2)</f>
        <v>2.08</v>
      </c>
      <c r="Y9" s="1" t="n">
        <f aca="false">T9*50000/100</f>
        <v>95</v>
      </c>
      <c r="AB9" s="1" t="n">
        <v>36.5</v>
      </c>
      <c r="AG9" s="1" t="s">
        <v>42</v>
      </c>
      <c r="AH9" s="1" t="n">
        <v>0</v>
      </c>
      <c r="AI9" s="1" t="n">
        <v>29</v>
      </c>
      <c r="AJ9" s="1" t="n">
        <f aca="false">AH9+AI9/100</f>
        <v>0.29</v>
      </c>
      <c r="AK9" s="1" t="n">
        <f aca="false">AJ9*1000</f>
        <v>290</v>
      </c>
    </row>
    <row r="10" customFormat="false" ht="15" hidden="false" customHeight="true" outlineLevel="0" collapsed="false">
      <c r="A10" s="17" t="s">
        <v>43</v>
      </c>
      <c r="B10" s="18" t="n">
        <v>177</v>
      </c>
      <c r="C10" s="14" t="n">
        <f aca="false">1000*B10/$S10</f>
        <v>777.772407095745</v>
      </c>
      <c r="D10" s="19" t="n">
        <v>263</v>
      </c>
      <c r="E10" s="14" t="n">
        <f aca="false">1000*D10/$S10</f>
        <v>1155.67312466769</v>
      </c>
      <c r="F10" s="20" t="n">
        <v>3.8</v>
      </c>
      <c r="G10" s="14" t="n">
        <f aca="false">1000*F10/$S10</f>
        <v>16.6979386834115</v>
      </c>
      <c r="H10" s="18" t="n">
        <v>348</v>
      </c>
      <c r="I10" s="14" t="n">
        <f aca="false">1000*H10/$S10</f>
        <v>1529.17964784926</v>
      </c>
      <c r="J10" s="1" t="n">
        <v>0.69</v>
      </c>
      <c r="K10" s="1" t="n">
        <v>440</v>
      </c>
      <c r="L10" s="14" t="n">
        <f aca="false">1000*K10/$S10</f>
        <v>1933.44553176343</v>
      </c>
      <c r="M10" s="1" t="n">
        <v>4.6</v>
      </c>
      <c r="N10" s="1" t="n">
        <v>1.5</v>
      </c>
      <c r="O10" s="1" t="n">
        <f aca="false">N10*N$34/100*1000</f>
        <v>660</v>
      </c>
      <c r="P10" s="14" t="n">
        <f aca="false">1000*O10/$S10</f>
        <v>2900.16829764515</v>
      </c>
      <c r="Q10" s="1" t="n">
        <v>2</v>
      </c>
      <c r="R10" s="1" t="n">
        <v>0.77</v>
      </c>
      <c r="S10" s="1" t="n">
        <v>227.573</v>
      </c>
      <c r="T10" s="1" t="n">
        <v>1.85</v>
      </c>
      <c r="U10" s="2" t="n">
        <f aca="false">H10+F10+B10+D10+K10+O10</f>
        <v>1891.8</v>
      </c>
      <c r="V10" s="1" t="n">
        <f aca="false">U10-$T$42*1000*T10/100</f>
        <v>770.92015</v>
      </c>
      <c r="W10" s="1" t="n">
        <f aca="false">ROUND(V10/S10 *100/1000, 2)</f>
        <v>0.34</v>
      </c>
      <c r="Y10" s="1" t="n">
        <f aca="false">T10*50000/100</f>
        <v>925</v>
      </c>
      <c r="AB10" s="1" t="n">
        <v>347.3</v>
      </c>
      <c r="AG10" s="1" t="s">
        <v>44</v>
      </c>
      <c r="AH10" s="1" t="n">
        <v>0</v>
      </c>
      <c r="AI10" s="1" t="n">
        <v>44</v>
      </c>
      <c r="AJ10" s="1" t="n">
        <f aca="false">AH10+AI10/100</f>
        <v>0.44</v>
      </c>
      <c r="AK10" s="1" t="n">
        <f aca="false">AJ10*1000</f>
        <v>440</v>
      </c>
    </row>
    <row r="11" customFormat="false" ht="15" hidden="false" customHeight="true" outlineLevel="0" collapsed="false">
      <c r="A11" s="13" t="s">
        <v>45</v>
      </c>
      <c r="B11" s="14" t="n">
        <v>106</v>
      </c>
      <c r="C11" s="14" t="n">
        <f aca="false">1000*B11/$S11</f>
        <v>304.277684963515</v>
      </c>
      <c r="D11" s="15" t="n">
        <v>258</v>
      </c>
      <c r="E11" s="14" t="n">
        <f aca="false">1000*D11/$S11</f>
        <v>740.600403024405</v>
      </c>
      <c r="F11" s="16" t="n">
        <v>113.8</v>
      </c>
      <c r="G11" s="14" t="n">
        <f aca="false">1000*F11/$S11</f>
        <v>326.667929706114</v>
      </c>
      <c r="H11" s="14" t="n">
        <v>533</v>
      </c>
      <c r="I11" s="14" t="n">
        <f aca="false">1000*H11/$S11</f>
        <v>1530.00005741088</v>
      </c>
      <c r="J11" s="1" t="n">
        <v>1.85</v>
      </c>
      <c r="K11" s="1" t="n">
        <v>1130</v>
      </c>
      <c r="L11" s="14" t="n">
        <f aca="false">1000*K11/$S11</f>
        <v>3243.71494347899</v>
      </c>
      <c r="M11" s="1" t="n">
        <v>4.2</v>
      </c>
      <c r="N11" s="1" t="n">
        <v>1.4</v>
      </c>
      <c r="O11" s="1" t="n">
        <f aca="false">N11*N$34/100*1000</f>
        <v>616</v>
      </c>
      <c r="P11" s="14" t="n">
        <f aca="false">1000*O11/$S11</f>
        <v>1768.25522582571</v>
      </c>
      <c r="Q11" s="1" t="n">
        <v>2.3</v>
      </c>
      <c r="R11" s="1" t="n">
        <v>0.62</v>
      </c>
      <c r="S11" s="1" t="n">
        <v>348.366</v>
      </c>
      <c r="T11" s="1" t="n">
        <v>2.22</v>
      </c>
      <c r="U11" s="2" t="n">
        <f aca="false">H11+F11+B11+D11+K11+O11</f>
        <v>2756.8</v>
      </c>
      <c r="V11" s="1" t="n">
        <f aca="false">U11-$T$42*1000*T11/100</f>
        <v>1411.74418</v>
      </c>
      <c r="W11" s="1" t="n">
        <f aca="false">ROUND(V11/S11 *100/1000, 2)</f>
        <v>0.41</v>
      </c>
      <c r="Y11" s="1" t="n">
        <f aca="false">T11*50000/100</f>
        <v>1110</v>
      </c>
      <c r="AB11" s="1" t="n">
        <v>417.8</v>
      </c>
      <c r="AG11" s="1" t="s">
        <v>46</v>
      </c>
      <c r="AH11" s="1" t="n">
        <v>1</v>
      </c>
      <c r="AI11" s="1" t="n">
        <v>13</v>
      </c>
      <c r="AJ11" s="1" t="n">
        <f aca="false">AH11+AI11/100</f>
        <v>1.13</v>
      </c>
      <c r="AK11" s="1" t="n">
        <f aca="false">AJ11*1000</f>
        <v>1130</v>
      </c>
    </row>
    <row r="12" customFormat="false" ht="15" hidden="false" customHeight="true" outlineLevel="0" collapsed="false">
      <c r="A12" s="17" t="s">
        <v>47</v>
      </c>
      <c r="B12" s="18" t="n">
        <v>23</v>
      </c>
      <c r="C12" s="14" t="n">
        <f aca="false">1000*B12/$S12</f>
        <v>744.360658921001</v>
      </c>
      <c r="D12" s="19" t="n">
        <v>21</v>
      </c>
      <c r="E12" s="14" t="n">
        <f aca="false">1000*D12/$S12</f>
        <v>679.633645101783</v>
      </c>
      <c r="F12" s="20" t="n">
        <v>0.1</v>
      </c>
      <c r="G12" s="14" t="n">
        <f aca="false">1000*F12/$S12</f>
        <v>3.23635069096087</v>
      </c>
      <c r="H12" s="18" t="n">
        <v>29</v>
      </c>
      <c r="I12" s="14" t="n">
        <f aca="false">1000*H12/$S12</f>
        <v>938.541700378653</v>
      </c>
      <c r="J12" s="1" t="n">
        <v>0.1</v>
      </c>
      <c r="K12" s="1" t="n">
        <v>900</v>
      </c>
      <c r="L12" s="14" t="n">
        <f aca="false">1000*K12/$S12</f>
        <v>29127.1562186479</v>
      </c>
      <c r="M12" s="1" t="n">
        <v>0.5</v>
      </c>
      <c r="N12" s="1" t="n">
        <v>0.2</v>
      </c>
      <c r="O12" s="1" t="n">
        <f aca="false">N12*N$34/100*1000</f>
        <v>88</v>
      </c>
      <c r="P12" s="14" t="n">
        <f aca="false">1000*O12/$S12</f>
        <v>2847.98860804557</v>
      </c>
      <c r="Q12" s="1" t="n">
        <v>0.2</v>
      </c>
      <c r="R12" s="1" t="n">
        <v>0.91</v>
      </c>
      <c r="S12" s="1" t="n">
        <v>30.899</v>
      </c>
      <c r="T12" s="1" t="n">
        <v>0.22</v>
      </c>
      <c r="U12" s="2" t="n">
        <f aca="false">H12+F12+B12+D12+K12+O12</f>
        <v>1061.1</v>
      </c>
      <c r="V12" s="1" t="n">
        <f aca="false">U12-$T$42*1000*T12/100</f>
        <v>927.80618</v>
      </c>
      <c r="W12" s="1" t="n">
        <f aca="false">ROUND(V12/S12 *100/1000, 2)</f>
        <v>3</v>
      </c>
      <c r="Y12" s="1" t="n">
        <f aca="false">T12*50000/100</f>
        <v>110</v>
      </c>
      <c r="AB12" s="1" t="n">
        <v>41.9</v>
      </c>
      <c r="AG12" s="1" t="s">
        <v>48</v>
      </c>
      <c r="AH12" s="1" t="n">
        <v>0</v>
      </c>
      <c r="AI12" s="1" t="n">
        <v>90</v>
      </c>
      <c r="AJ12" s="1" t="n">
        <f aca="false">AH12+AI12/100</f>
        <v>0.9</v>
      </c>
      <c r="AK12" s="1" t="n">
        <f aca="false">AJ12*1000</f>
        <v>900</v>
      </c>
    </row>
    <row r="13" customFormat="false" ht="15" hidden="false" customHeight="true" outlineLevel="0" collapsed="false">
      <c r="A13" s="13" t="s">
        <v>49</v>
      </c>
      <c r="B13" s="14" t="n">
        <v>97</v>
      </c>
      <c r="C13" s="14" t="n">
        <f aca="false">1000*B13/$S13</f>
        <v>379.785988637743</v>
      </c>
      <c r="D13" s="15" t="n">
        <v>133</v>
      </c>
      <c r="E13" s="14" t="n">
        <f aca="false">1000*D13/$S13</f>
        <v>520.737489575462</v>
      </c>
      <c r="F13" s="16" t="n">
        <v>81.3</v>
      </c>
      <c r="G13" s="14" t="n">
        <f aca="false">1000*F13/$S13</f>
        <v>318.315472951015</v>
      </c>
      <c r="H13" s="14" t="n">
        <v>152</v>
      </c>
      <c r="I13" s="14" t="n">
        <f aca="false">1000*H13/$S13</f>
        <v>595.128559514814</v>
      </c>
      <c r="J13" s="1" t="n">
        <v>1.57</v>
      </c>
      <c r="K13" s="1" t="n">
        <v>720</v>
      </c>
      <c r="L13" s="14" t="n">
        <f aca="false">1000*K13/$S13</f>
        <v>2819.03001875438</v>
      </c>
      <c r="M13" s="1" t="n">
        <v>2.9</v>
      </c>
      <c r="N13" s="1" t="n">
        <v>1</v>
      </c>
      <c r="O13" s="1" t="n">
        <f aca="false">N13*N$34/100*1000</f>
        <v>440</v>
      </c>
      <c r="P13" s="14" t="n">
        <f aca="false">1000*O13/$S13</f>
        <v>1722.74056701657</v>
      </c>
      <c r="Q13" s="1" t="n">
        <v>1.6</v>
      </c>
      <c r="R13" s="1" t="n">
        <v>0.61</v>
      </c>
      <c r="S13" s="1" t="n">
        <v>255.407</v>
      </c>
      <c r="T13" s="1" t="n">
        <v>1.5</v>
      </c>
      <c r="U13" s="2" t="n">
        <f aca="false">H13+F13+B13+D13+K13+O13</f>
        <v>1623.3</v>
      </c>
      <c r="V13" s="1" t="n">
        <f aca="false">U13-$T$42*1000*T13/100</f>
        <v>714.4785</v>
      </c>
      <c r="W13" s="1" t="n">
        <f aca="false">ROUND(V13/S13 *100/1000, 2)</f>
        <v>0.28</v>
      </c>
      <c r="Y13" s="1" t="n">
        <f aca="false">T13*50000/100</f>
        <v>750</v>
      </c>
      <c r="AB13" s="1" t="n">
        <v>281.7</v>
      </c>
      <c r="AG13" s="1" t="s">
        <v>50</v>
      </c>
      <c r="AH13" s="1" t="n">
        <v>0</v>
      </c>
      <c r="AI13" s="1" t="n">
        <v>72</v>
      </c>
      <c r="AJ13" s="1" t="n">
        <f aca="false">AH13+AI13/100</f>
        <v>0.72</v>
      </c>
      <c r="AK13" s="1" t="n">
        <f aca="false">AJ13*1000</f>
        <v>720</v>
      </c>
    </row>
    <row r="14" customFormat="false" ht="15" hidden="false" customHeight="true" outlineLevel="0" collapsed="false">
      <c r="A14" s="17" t="s">
        <v>51</v>
      </c>
      <c r="B14" s="18" t="n">
        <v>1078</v>
      </c>
      <c r="C14" s="14" t="n">
        <f aca="false">1000*B14/$S14</f>
        <v>418.692157950257</v>
      </c>
      <c r="D14" s="19" t="n">
        <v>1691</v>
      </c>
      <c r="E14" s="14" t="n">
        <f aca="false">1000*D14/$S14</f>
        <v>656.779628101934</v>
      </c>
      <c r="F14" s="18" t="n">
        <v>3100</v>
      </c>
      <c r="G14" s="14" t="n">
        <f aca="false">1000*F14/$S14</f>
        <v>1204.03125199054</v>
      </c>
      <c r="H14" s="18" t="n">
        <v>6670</v>
      </c>
      <c r="I14" s="14" t="n">
        <f aca="false">1000*H14/$S14</f>
        <v>2590.60917766996</v>
      </c>
      <c r="J14" s="1" t="n">
        <v>17.13</v>
      </c>
      <c r="K14" s="1" t="n">
        <v>5380</v>
      </c>
      <c r="L14" s="14" t="n">
        <f aca="false">1000*K14/$S14</f>
        <v>2089.57681797067</v>
      </c>
      <c r="M14" s="1" t="n">
        <v>62</v>
      </c>
      <c r="N14" s="1" t="n">
        <v>20.7</v>
      </c>
      <c r="O14" s="1" t="n">
        <f aca="false">N14*N$34/100*1000</f>
        <v>9108</v>
      </c>
      <c r="P14" s="14" t="n">
        <f aca="false">1000*O14/$S14</f>
        <v>3537.5214977838</v>
      </c>
      <c r="Q14" s="1" t="n">
        <v>16.3</v>
      </c>
      <c r="R14" s="1" t="n">
        <v>1.27</v>
      </c>
      <c r="S14" s="1" t="n">
        <v>2574.684</v>
      </c>
      <c r="T14" s="1" t="n">
        <v>15.91</v>
      </c>
      <c r="U14" s="2" t="n">
        <f aca="false">H14+F14+B14+D14+K14+O14</f>
        <v>27027</v>
      </c>
      <c r="V14" s="1" t="n">
        <f aca="false">U14-$T$42*1000*T14/100</f>
        <v>17387.43329</v>
      </c>
      <c r="W14" s="1" t="n">
        <f aca="false">ROUND(V14/S14 *100/1000, 2)</f>
        <v>0.68</v>
      </c>
      <c r="Y14" s="1" t="n">
        <f aca="false">T14*50000/100</f>
        <v>7955</v>
      </c>
      <c r="AB14" s="1" t="n">
        <v>2991.1</v>
      </c>
      <c r="AG14" s="1" t="s">
        <v>52</v>
      </c>
      <c r="AH14" s="1" t="n">
        <v>5</v>
      </c>
      <c r="AI14" s="1" t="n">
        <v>38</v>
      </c>
      <c r="AJ14" s="1" t="n">
        <f aca="false">AH14+AI14/100</f>
        <v>5.38</v>
      </c>
      <c r="AK14" s="1" t="n">
        <f aca="false">AJ14*1000</f>
        <v>5380</v>
      </c>
    </row>
    <row r="15" customFormat="false" ht="15" hidden="false" customHeight="true" outlineLevel="0" collapsed="false">
      <c r="A15" s="13" t="s">
        <v>53</v>
      </c>
      <c r="B15" s="14" t="n">
        <v>973</v>
      </c>
      <c r="C15" s="14" t="n">
        <f aca="false">1000*B15/$S15</f>
        <v>260.893020991029</v>
      </c>
      <c r="D15" s="22" t="n">
        <v>2700</v>
      </c>
      <c r="E15" s="14" t="n">
        <f aca="false">1000*D15/$S15</f>
        <v>723.958023305013</v>
      </c>
      <c r="F15" s="16" t="n">
        <v>1595.2</v>
      </c>
      <c r="G15" s="14" t="n">
        <f aca="false">1000*F15/$S15</f>
        <v>427.725125472651</v>
      </c>
      <c r="H15" s="14" t="n">
        <v>8344</v>
      </c>
      <c r="I15" s="14" t="n">
        <f aca="false">1000*H15/$S15</f>
        <v>2237.29842461372</v>
      </c>
      <c r="J15" s="1" t="n">
        <v>20.1</v>
      </c>
      <c r="K15" s="1" t="n">
        <v>6400</v>
      </c>
      <c r="L15" s="14" t="n">
        <f aca="false">1000*K15/$S15</f>
        <v>1716.04864783411</v>
      </c>
      <c r="M15" s="1" t="n">
        <v>57.7</v>
      </c>
      <c r="N15" s="1" t="n">
        <v>19.3</v>
      </c>
      <c r="O15" s="1" t="n">
        <f aca="false">N15*N$34/100*1000</f>
        <v>8492</v>
      </c>
      <c r="P15" s="14" t="n">
        <f aca="false">1000*O15/$S15</f>
        <v>2276.98204959488</v>
      </c>
      <c r="Q15" s="1" t="n">
        <v>24.5</v>
      </c>
      <c r="R15" s="1" t="n">
        <v>0.79</v>
      </c>
      <c r="S15" s="1" t="n">
        <v>3729.498</v>
      </c>
      <c r="T15" s="1" t="n">
        <v>24.1</v>
      </c>
      <c r="U15" s="2" t="n">
        <f aca="false">H15+F15+B15+D15+K15+O15</f>
        <v>28504.2</v>
      </c>
      <c r="V15" s="1" t="n">
        <f aca="false">U15-$T$42*1000*T15/100</f>
        <v>13902.4679</v>
      </c>
      <c r="W15" s="1" t="n">
        <f aca="false">ROUND(V15/S15 *100/1000, 2)</f>
        <v>0.37</v>
      </c>
      <c r="Y15" s="1" t="n">
        <f aca="false">T15*50000/100</f>
        <v>12050</v>
      </c>
      <c r="AB15" s="1" t="n">
        <v>4529.7</v>
      </c>
      <c r="AG15" s="1" t="s">
        <v>54</v>
      </c>
      <c r="AH15" s="1" t="n">
        <v>6</v>
      </c>
      <c r="AI15" s="1" t="n">
        <v>40</v>
      </c>
      <c r="AJ15" s="1" t="n">
        <f aca="false">AH15+AI15/100</f>
        <v>6.4</v>
      </c>
      <c r="AK15" s="1" t="n">
        <f aca="false">AJ15*1000</f>
        <v>6400</v>
      </c>
    </row>
    <row r="16" customFormat="false" ht="15" hidden="false" customHeight="true" outlineLevel="0" collapsed="false">
      <c r="A16" s="17" t="s">
        <v>55</v>
      </c>
      <c r="B16" s="18" t="n">
        <v>91</v>
      </c>
      <c r="C16" s="14" t="n">
        <f aca="false">1000*B16/$S16</f>
        <v>503.093193867792</v>
      </c>
      <c r="D16" s="19" t="n">
        <v>54</v>
      </c>
      <c r="E16" s="14" t="n">
        <f aca="false">1000*D16/$S16</f>
        <v>298.538818339129</v>
      </c>
      <c r="F16" s="20" t="n">
        <v>22.7</v>
      </c>
      <c r="G16" s="14" t="n">
        <f aca="false">1000*F16/$S16</f>
        <v>125.496873635152</v>
      </c>
      <c r="H16" s="18" t="n">
        <v>118</v>
      </c>
      <c r="I16" s="14" t="n">
        <f aca="false">1000*H16/$S16</f>
        <v>652.362603037356</v>
      </c>
      <c r="J16" s="1" t="n">
        <v>3.09</v>
      </c>
      <c r="K16" s="1" t="n">
        <v>2540</v>
      </c>
      <c r="L16" s="14" t="n">
        <f aca="false">1000*K16/$S16</f>
        <v>14042.3814552109</v>
      </c>
      <c r="M16" s="1" t="n">
        <v>6.3</v>
      </c>
      <c r="N16" s="1" t="n">
        <v>2.1</v>
      </c>
      <c r="O16" s="1" t="n">
        <f aca="false">N16*N$34/100*1000</f>
        <v>924</v>
      </c>
      <c r="P16" s="14" t="n">
        <f aca="false">1000*O16/$S16</f>
        <v>5108.33089158065</v>
      </c>
      <c r="Q16" s="1" t="n">
        <v>1.3</v>
      </c>
      <c r="R16" s="1" t="n">
        <v>1.61</v>
      </c>
      <c r="S16" s="1" t="n">
        <v>180.881</v>
      </c>
      <c r="T16" s="1" t="n">
        <v>1.32</v>
      </c>
      <c r="U16" s="2" t="n">
        <f aca="false">H16+F16+B16+D16+K16+O16</f>
        <v>3749.7</v>
      </c>
      <c r="V16" s="1" t="n">
        <f aca="false">U16-$T$42*1000*T16/100</f>
        <v>2949.93708</v>
      </c>
      <c r="W16" s="1" t="n">
        <f aca="false">ROUND(V16/S16 *100/1000, 2)</f>
        <v>1.63</v>
      </c>
      <c r="Y16" s="1" t="n">
        <f aca="false">T16*50000/100</f>
        <v>660</v>
      </c>
      <c r="AB16" s="1" t="n">
        <v>248.4</v>
      </c>
      <c r="AG16" s="1" t="s">
        <v>56</v>
      </c>
      <c r="AH16" s="1" t="n">
        <v>2</v>
      </c>
      <c r="AI16" s="1" t="n">
        <v>54</v>
      </c>
      <c r="AJ16" s="1" t="n">
        <f aca="false">AH16+AI16/100</f>
        <v>2.54</v>
      </c>
      <c r="AK16" s="1" t="n">
        <f aca="false">AJ16*1000</f>
        <v>2540</v>
      </c>
    </row>
    <row r="17" customFormat="false" ht="15" hidden="false" customHeight="true" outlineLevel="0" collapsed="false">
      <c r="A17" s="13" t="s">
        <v>57</v>
      </c>
      <c r="B17" s="14" t="n">
        <v>139</v>
      </c>
      <c r="C17" s="14" t="n">
        <f aca="false">1000*B17/$S17</f>
        <v>933.361983293492</v>
      </c>
      <c r="D17" s="15" t="n">
        <v>113</v>
      </c>
      <c r="E17" s="14" t="n">
        <f aca="false">1000*D17/$S17</f>
        <v>758.776288576724</v>
      </c>
      <c r="F17" s="16" t="n">
        <v>5.9</v>
      </c>
      <c r="G17" s="14" t="n">
        <f aca="false">1000*F17/$S17</f>
        <v>39.617523031882</v>
      </c>
      <c r="H17" s="14" t="n">
        <v>208</v>
      </c>
      <c r="I17" s="14" t="n">
        <f aca="false">1000*H17/$S17</f>
        <v>1396.68555773415</v>
      </c>
      <c r="J17" s="1" t="n">
        <v>0.76</v>
      </c>
      <c r="K17" s="1" t="n">
        <v>370</v>
      </c>
      <c r="L17" s="14" t="n">
        <f aca="false">1000*K17/$S17</f>
        <v>2484.48873250786</v>
      </c>
      <c r="M17" s="1" t="n">
        <v>2.5</v>
      </c>
      <c r="N17" s="1" t="n">
        <v>0.9</v>
      </c>
      <c r="O17" s="1" t="n">
        <f aca="false">N17*N$34/100*1000</f>
        <v>396</v>
      </c>
      <c r="P17" s="14" t="n">
        <f aca="false">1000*O17/$S17</f>
        <v>2659.07442722462</v>
      </c>
      <c r="Q17" s="1" t="n">
        <v>1.1</v>
      </c>
      <c r="R17" s="1" t="n">
        <v>0.78</v>
      </c>
      <c r="S17" s="1" t="n">
        <v>148.924</v>
      </c>
      <c r="T17" s="1" t="n">
        <v>1.16</v>
      </c>
      <c r="U17" s="2" t="n">
        <f aca="false">H17+F17+B17+D17+K17+O17</f>
        <v>1231.9</v>
      </c>
      <c r="V17" s="1" t="n">
        <f aca="false">U17-$T$42*1000*T17/100</f>
        <v>529.07804</v>
      </c>
      <c r="W17" s="1" t="n">
        <f aca="false">ROUND(V17/S17 *100/1000, 2)</f>
        <v>0.36</v>
      </c>
      <c r="Y17" s="1" t="n">
        <f aca="false">T17*50000/100</f>
        <v>580</v>
      </c>
      <c r="AB17" s="1" t="n">
        <v>218.8</v>
      </c>
      <c r="AG17" s="1" t="s">
        <v>58</v>
      </c>
      <c r="AH17" s="1" t="n">
        <v>0</v>
      </c>
      <c r="AI17" s="1" t="n">
        <v>37</v>
      </c>
      <c r="AJ17" s="1" t="n">
        <f aca="false">AH17+AI17/100</f>
        <v>0.37</v>
      </c>
      <c r="AK17" s="1" t="n">
        <f aca="false">AJ17*1000</f>
        <v>370</v>
      </c>
    </row>
    <row r="18" customFormat="false" ht="15" hidden="false" customHeight="true" outlineLevel="0" collapsed="false">
      <c r="A18" s="17" t="s">
        <v>59</v>
      </c>
      <c r="B18" s="18" t="n">
        <v>97</v>
      </c>
      <c r="C18" s="14" t="n">
        <f aca="false">1000*B18/$S18</f>
        <v>299.863052234907</v>
      </c>
      <c r="D18" s="19" t="n">
        <v>160</v>
      </c>
      <c r="E18" s="14" t="n">
        <f aca="false">1000*D18/$S18</f>
        <v>494.619467603971</v>
      </c>
      <c r="F18" s="20" t="n">
        <v>241.4</v>
      </c>
      <c r="G18" s="14" t="n">
        <f aca="false">1000*F18/$S18</f>
        <v>746.257121747491</v>
      </c>
      <c r="H18" s="18" t="n">
        <v>331</v>
      </c>
      <c r="I18" s="14" t="n">
        <f aca="false">1000*H18/$S18</f>
        <v>1023.24402360571</v>
      </c>
      <c r="J18" s="1" t="n">
        <v>2.52</v>
      </c>
      <c r="K18" s="1" t="n">
        <v>940</v>
      </c>
      <c r="L18" s="14" t="n">
        <f aca="false">1000*K18/$S18</f>
        <v>2905.88937217333</v>
      </c>
      <c r="M18" s="1" t="n">
        <v>3.8</v>
      </c>
      <c r="N18" s="1" t="n">
        <v>1.3</v>
      </c>
      <c r="O18" s="1" t="n">
        <f aca="false">N18*N$34/100*1000</f>
        <v>572</v>
      </c>
      <c r="P18" s="14" t="n">
        <f aca="false">1000*O18/$S18</f>
        <v>1768.2645966842</v>
      </c>
      <c r="Q18" s="1" t="n">
        <v>3</v>
      </c>
      <c r="R18" s="1" t="n">
        <v>0.43</v>
      </c>
      <c r="S18" s="1" t="n">
        <v>323.481</v>
      </c>
      <c r="T18" s="1" t="n">
        <v>3.21</v>
      </c>
      <c r="U18" s="2" t="n">
        <f aca="false">H18+F18+B18+D18+K18+O18</f>
        <v>2341.4</v>
      </c>
      <c r="V18" s="1" t="n">
        <f aca="false">U18-$T$42*1000*T18/100</f>
        <v>396.52199</v>
      </c>
      <c r="W18" s="1" t="n">
        <f aca="false">ROUND(V18/S18 *100/1000, 2)</f>
        <v>0.12</v>
      </c>
      <c r="Y18" s="1" t="n">
        <f aca="false">T18*50000/100</f>
        <v>1605</v>
      </c>
      <c r="AB18" s="1" t="n">
        <v>602.4</v>
      </c>
      <c r="AG18" s="1" t="s">
        <v>60</v>
      </c>
      <c r="AH18" s="1" t="n">
        <v>0</v>
      </c>
      <c r="AI18" s="1" t="n">
        <v>94</v>
      </c>
      <c r="AJ18" s="1" t="n">
        <f aca="false">AH18+AI18/100</f>
        <v>0.94</v>
      </c>
      <c r="AK18" s="1" t="n">
        <f aca="false">AJ18*1000</f>
        <v>940</v>
      </c>
    </row>
    <row r="19" customFormat="false" ht="15" hidden="false" customHeight="true" outlineLevel="0" collapsed="false">
      <c r="A19" s="13" t="s">
        <v>61</v>
      </c>
      <c r="B19" s="14" t="n">
        <v>464</v>
      </c>
      <c r="C19" s="14" t="n">
        <f aca="false">1000*B19/$S19</f>
        <v>255.791133309077</v>
      </c>
      <c r="D19" s="15" t="n">
        <v>891</v>
      </c>
      <c r="E19" s="14" t="n">
        <f aca="false">1000*D19/$S19</f>
        <v>491.185128832732</v>
      </c>
      <c r="F19" s="16" t="n">
        <v>544.5</v>
      </c>
      <c r="G19" s="14" t="n">
        <f aca="false">1000*F19/$S19</f>
        <v>300.168689842225</v>
      </c>
      <c r="H19" s="14" t="n">
        <v>2618</v>
      </c>
      <c r="I19" s="14" t="n">
        <f aca="false">1000*H19/$S19</f>
        <v>1443.23531681716</v>
      </c>
      <c r="J19" s="1" t="n">
        <v>10.01</v>
      </c>
      <c r="K19" s="1" t="n">
        <v>7110</v>
      </c>
      <c r="L19" s="14" t="n">
        <f aca="false">1000*K19/$S19</f>
        <v>3919.55809876625</v>
      </c>
      <c r="M19" s="1" t="n">
        <v>56.5</v>
      </c>
      <c r="N19" s="1" t="n">
        <v>18.9</v>
      </c>
      <c r="O19" s="1" t="n">
        <f aca="false">N19*N$34/100*1000</f>
        <v>8316</v>
      </c>
      <c r="P19" s="14" t="n">
        <f aca="false">1000*O19/$S19</f>
        <v>4584.39453577217</v>
      </c>
      <c r="Q19" s="1" t="n">
        <v>12.3</v>
      </c>
      <c r="R19" s="1" t="n">
        <v>1.54</v>
      </c>
      <c r="S19" s="1" t="n">
        <v>1813.98</v>
      </c>
      <c r="T19" s="1" t="n">
        <v>12.01</v>
      </c>
      <c r="U19" s="2" t="n">
        <f aca="false">H19+F19+B19+D19+K19+O19</f>
        <v>19943.5</v>
      </c>
      <c r="V19" s="1" t="n">
        <f aca="false">U19-$T$42*1000*T19/100</f>
        <v>12666.86919</v>
      </c>
      <c r="W19" s="1" t="n">
        <f aca="false">ROUND(V19/S19 *100/1000, 2)</f>
        <v>0.7</v>
      </c>
      <c r="Y19" s="1" t="n">
        <f aca="false">T19*50000/100</f>
        <v>6005</v>
      </c>
      <c r="AB19" s="1" t="n">
        <v>2258</v>
      </c>
      <c r="AG19" s="1" t="s">
        <v>62</v>
      </c>
      <c r="AH19" s="1" t="n">
        <v>7</v>
      </c>
      <c r="AI19" s="1" t="n">
        <v>11</v>
      </c>
      <c r="AJ19" s="1" t="n">
        <f aca="false">AH19+AI19/100</f>
        <v>7.11</v>
      </c>
      <c r="AK19" s="1" t="n">
        <f aca="false">AJ19*1000</f>
        <v>7110</v>
      </c>
    </row>
    <row r="20" customFormat="false" ht="15" hidden="false" customHeight="true" outlineLevel="0" collapsed="false">
      <c r="A20" s="17" t="s">
        <v>63</v>
      </c>
      <c r="B20" s="18" t="n">
        <v>27</v>
      </c>
      <c r="C20" s="14" t="n">
        <f aca="false">1000*B20/$S20</f>
        <v>816.326530612245</v>
      </c>
      <c r="D20" s="19" t="n">
        <v>20</v>
      </c>
      <c r="E20" s="14" t="n">
        <f aca="false">1000*D20/$S20</f>
        <v>604.686318972033</v>
      </c>
      <c r="F20" s="18" t="n">
        <v>0</v>
      </c>
      <c r="G20" s="14" t="n">
        <f aca="false">1000*F20/$S20</f>
        <v>0</v>
      </c>
      <c r="H20" s="18" t="n">
        <v>20</v>
      </c>
      <c r="I20" s="14" t="n">
        <f aca="false">1000*H20/$S20</f>
        <v>604.686318972033</v>
      </c>
      <c r="J20" s="1" t="n">
        <v>0.27</v>
      </c>
      <c r="K20" s="1" t="n">
        <v>180</v>
      </c>
      <c r="L20" s="14" t="n">
        <f aca="false">1000*K20/$S20</f>
        <v>5442.1768707483</v>
      </c>
      <c r="M20" s="1" t="n">
        <v>0.5</v>
      </c>
      <c r="N20" s="1" t="n">
        <v>0.2</v>
      </c>
      <c r="O20" s="1" t="n">
        <f aca="false">N20*N$34/100*1000</f>
        <v>88</v>
      </c>
      <c r="P20" s="14" t="n">
        <f aca="false">1000*O20/$S20</f>
        <v>2660.61980347695</v>
      </c>
      <c r="Q20" s="1" t="n">
        <v>0.3</v>
      </c>
      <c r="R20" s="1" t="n">
        <v>0.55</v>
      </c>
      <c r="S20" s="1" t="n">
        <v>33.075</v>
      </c>
      <c r="T20" s="1" t="n">
        <v>0.23</v>
      </c>
      <c r="U20" s="2" t="n">
        <f aca="false">H20+F20+B20+D20+K20+O20</f>
        <v>335</v>
      </c>
      <c r="V20" s="1" t="n">
        <f aca="false">U20-$T$42*1000*T20/100</f>
        <v>195.64737</v>
      </c>
      <c r="W20" s="1" t="n">
        <f aca="false">ROUND(V20/S20 *100/1000, 2)</f>
        <v>0.59</v>
      </c>
      <c r="Y20" s="1" t="n">
        <f aca="false">T20*50000/100</f>
        <v>115</v>
      </c>
      <c r="AB20" s="1" t="n">
        <v>43</v>
      </c>
      <c r="AG20" s="1" t="s">
        <v>64</v>
      </c>
      <c r="AH20" s="1" t="n">
        <v>0</v>
      </c>
      <c r="AI20" s="1" t="n">
        <v>18</v>
      </c>
      <c r="AJ20" s="1" t="n">
        <f aca="false">AH20+AI20/100</f>
        <v>0.18</v>
      </c>
      <c r="AK20" s="1" t="n">
        <f aca="false">AJ20*1000</f>
        <v>180</v>
      </c>
    </row>
    <row r="21" customFormat="false" ht="15" hidden="false" customHeight="true" outlineLevel="0" collapsed="false">
      <c r="A21" s="13" t="s">
        <v>65</v>
      </c>
      <c r="B21" s="14" t="n">
        <v>41</v>
      </c>
      <c r="C21" s="14" t="n">
        <f aca="false">1000*B21/$S21</f>
        <v>759.034360189574</v>
      </c>
      <c r="D21" s="15" t="n">
        <v>24</v>
      </c>
      <c r="E21" s="14" t="n">
        <f aca="false">1000*D21/$S21</f>
        <v>444.312796208531</v>
      </c>
      <c r="F21" s="16" t="n">
        <v>0.1</v>
      </c>
      <c r="G21" s="14" t="n">
        <f aca="false">1000*F21/$S21</f>
        <v>1.85130331753555</v>
      </c>
      <c r="H21" s="14" t="n">
        <v>31</v>
      </c>
      <c r="I21" s="14" t="n">
        <f aca="false">1000*H21/$S21</f>
        <v>573.904028436019</v>
      </c>
      <c r="J21" s="1" t="n">
        <v>0.21</v>
      </c>
      <c r="K21" s="1" t="n">
        <v>140</v>
      </c>
      <c r="L21" s="14" t="n">
        <f aca="false">1000*K21/$S21</f>
        <v>2591.82464454976</v>
      </c>
      <c r="M21" s="1" t="n">
        <v>0.8</v>
      </c>
      <c r="N21" s="1" t="n">
        <v>0.3</v>
      </c>
      <c r="O21" s="1" t="n">
        <f aca="false">N21*N$34/100*1000</f>
        <v>132</v>
      </c>
      <c r="P21" s="14" t="n">
        <f aca="false">1000*O21/$S21</f>
        <v>2443.72037914692</v>
      </c>
      <c r="Q21" s="1" t="n">
        <v>0.5</v>
      </c>
      <c r="R21" s="1" t="n">
        <v>0.53</v>
      </c>
      <c r="S21" s="1" t="n">
        <v>54.016</v>
      </c>
      <c r="T21" s="1" t="n">
        <v>0.45</v>
      </c>
      <c r="U21" s="2" t="n">
        <f aca="false">H21+F21+B21+D21+K21+O21</f>
        <v>368.1</v>
      </c>
      <c r="V21" s="1" t="n">
        <f aca="false">U21-$T$42*1000*T21/100</f>
        <v>95.45355</v>
      </c>
      <c r="W21" s="1" t="n">
        <f aca="false">ROUND(V21/S21 *100/1000, 2)</f>
        <v>0.18</v>
      </c>
      <c r="Y21" s="1" t="n">
        <f aca="false">T21*50000/100</f>
        <v>225</v>
      </c>
      <c r="AB21" s="1" t="n">
        <v>84.3</v>
      </c>
      <c r="AG21" s="1" t="s">
        <v>66</v>
      </c>
      <c r="AH21" s="1" t="n">
        <v>0</v>
      </c>
      <c r="AI21" s="1" t="n">
        <v>14</v>
      </c>
      <c r="AJ21" s="1" t="n">
        <f aca="false">AH21+AI21/100</f>
        <v>0.14</v>
      </c>
      <c r="AK21" s="1" t="n">
        <f aca="false">AJ21*1000</f>
        <v>140</v>
      </c>
    </row>
    <row r="22" customFormat="false" ht="15" hidden="false" customHeight="true" outlineLevel="0" collapsed="false">
      <c r="A22" s="17" t="s">
        <v>67</v>
      </c>
      <c r="B22" s="18" t="n">
        <v>10</v>
      </c>
      <c r="C22" s="14" t="n">
        <f aca="false">1000*B22/$S22</f>
        <v>198.137507430157</v>
      </c>
      <c r="D22" s="23"/>
      <c r="E22" s="14" t="n">
        <f aca="false">1000*D22/$S22</f>
        <v>0</v>
      </c>
      <c r="F22" s="18" t="n">
        <v>0</v>
      </c>
      <c r="G22" s="14" t="n">
        <f aca="false">1000*F22/$S22</f>
        <v>0</v>
      </c>
      <c r="H22" s="18" t="n">
        <v>208</v>
      </c>
      <c r="I22" s="14" t="n">
        <f aca="false">1000*H22/$S22</f>
        <v>4121.26015454726</v>
      </c>
      <c r="J22" s="1" t="n">
        <v>1.55</v>
      </c>
      <c r="K22" s="1" t="n">
        <v>210</v>
      </c>
      <c r="L22" s="14" t="n">
        <f aca="false">1000*K22/$S22</f>
        <v>4160.88765603329</v>
      </c>
      <c r="M22" s="1" t="n">
        <v>1.8</v>
      </c>
      <c r="N22" s="1" t="n">
        <v>0.6</v>
      </c>
      <c r="O22" s="1" t="n">
        <f aca="false">N22*N$34/100*1000</f>
        <v>264</v>
      </c>
      <c r="P22" s="14" t="n">
        <f aca="false">1000*O22/$S22</f>
        <v>5230.83019615613</v>
      </c>
      <c r="Q22" s="1" t="n">
        <v>0.5</v>
      </c>
      <c r="R22" s="1" t="n">
        <v>1.21</v>
      </c>
      <c r="S22" s="1" t="n">
        <v>50.47</v>
      </c>
      <c r="T22" s="1" t="n">
        <v>0.48</v>
      </c>
      <c r="U22" s="2" t="n">
        <f aca="false">H22+F22+B22+D22+K22+O22</f>
        <v>692</v>
      </c>
      <c r="V22" s="1" t="n">
        <f aca="false">U22-$T$42*1000*T22/100</f>
        <v>401.17712</v>
      </c>
      <c r="W22" s="1" t="n">
        <f aca="false">ROUND(V22/S22 *100/1000, 2)</f>
        <v>0.79</v>
      </c>
      <c r="Y22" s="1" t="n">
        <f aca="false">T22*50000/100</f>
        <v>240</v>
      </c>
      <c r="AB22" s="1" t="n">
        <v>89.5</v>
      </c>
      <c r="AG22" s="1" t="s">
        <v>68</v>
      </c>
      <c r="AH22" s="1" t="n">
        <v>0</v>
      </c>
      <c r="AI22" s="1" t="n">
        <v>21</v>
      </c>
      <c r="AJ22" s="1" t="n">
        <f aca="false">AH22+AI22/100</f>
        <v>0.21</v>
      </c>
      <c r="AK22" s="1" t="n">
        <f aca="false">AJ22*1000</f>
        <v>210</v>
      </c>
    </row>
    <row r="23" customFormat="false" ht="15" hidden="false" customHeight="true" outlineLevel="0" collapsed="false">
      <c r="A23" s="13" t="s">
        <v>69</v>
      </c>
      <c r="B23" s="14" t="n">
        <v>7</v>
      </c>
      <c r="C23" s="14" t="n">
        <f aca="false">1000*B23/$S23</f>
        <v>510.538983298082</v>
      </c>
      <c r="D23" s="21"/>
      <c r="E23" s="14" t="n">
        <f aca="false">1000*D23/$S23</f>
        <v>0</v>
      </c>
      <c r="F23" s="14" t="n">
        <v>0</v>
      </c>
      <c r="G23" s="14" t="n">
        <f aca="false">1000*F23/$S23</f>
        <v>0</v>
      </c>
      <c r="H23" s="14" t="n">
        <v>9</v>
      </c>
      <c r="I23" s="14" t="n">
        <f aca="false">1000*H23/$S23</f>
        <v>656.407264240391</v>
      </c>
      <c r="J23" s="1" t="n">
        <v>0.29</v>
      </c>
      <c r="K23" s="1" t="n">
        <v>270</v>
      </c>
      <c r="L23" s="14" t="n">
        <f aca="false">1000*K23/$S23</f>
        <v>19692.2179272117</v>
      </c>
      <c r="M23" s="1" t="n">
        <v>0.9</v>
      </c>
      <c r="N23" s="1" t="n">
        <v>0.3</v>
      </c>
      <c r="O23" s="1" t="n">
        <f aca="false">N23*N$34/100*1000</f>
        <v>132</v>
      </c>
      <c r="P23" s="14" t="n">
        <f aca="false">1000*O23/$S23</f>
        <v>9627.3065421924</v>
      </c>
      <c r="Q23" s="1" t="n">
        <v>0.1</v>
      </c>
      <c r="R23" s="1" t="n">
        <v>3.11</v>
      </c>
      <c r="S23" s="1" t="n">
        <v>13.711</v>
      </c>
      <c r="T23" s="1" t="n">
        <v>0.13</v>
      </c>
      <c r="U23" s="2" t="n">
        <f aca="false">H23+F23+B23+D23+K23+O23</f>
        <v>418</v>
      </c>
      <c r="V23" s="1" t="n">
        <f aca="false">U23-$T$42*1000*T23/100</f>
        <v>339.23547</v>
      </c>
      <c r="W23" s="1" t="n">
        <f aca="false">ROUND(V23/S23 *100/1000, 2)</f>
        <v>2.47</v>
      </c>
      <c r="Y23" s="1" t="n">
        <f aca="false">T23*50000/100</f>
        <v>65</v>
      </c>
      <c r="AB23" s="1" t="n">
        <v>24.6</v>
      </c>
      <c r="AG23" s="1" t="s">
        <v>70</v>
      </c>
      <c r="AH23" s="1" t="n">
        <v>0</v>
      </c>
      <c r="AI23" s="1" t="n">
        <v>27</v>
      </c>
      <c r="AJ23" s="1" t="n">
        <f aca="false">AH23+AI23/100</f>
        <v>0.27</v>
      </c>
      <c r="AK23" s="1" t="n">
        <f aca="false">AJ23*1000</f>
        <v>270</v>
      </c>
    </row>
    <row r="24" customFormat="false" ht="15" hidden="false" customHeight="true" outlineLevel="0" collapsed="false">
      <c r="A24" s="17" t="s">
        <v>71</v>
      </c>
      <c r="B24" s="18" t="n">
        <v>332</v>
      </c>
      <c r="C24" s="14" t="n">
        <f aca="false">1000*B24/$S24</f>
        <v>396.580804533444</v>
      </c>
      <c r="D24" s="19" t="n">
        <v>652</v>
      </c>
      <c r="E24" s="14" t="n">
        <f aca="false">1000*D24/$S24</f>
        <v>778.827363119896</v>
      </c>
      <c r="F24" s="18" t="n">
        <v>1961</v>
      </c>
      <c r="G24" s="14" t="n">
        <f aca="false">1000*F24/$S24</f>
        <v>2342.4546918376</v>
      </c>
      <c r="H24" s="18" t="n">
        <v>913</v>
      </c>
      <c r="I24" s="14" t="n">
        <f aca="false">1000*H24/$S24</f>
        <v>1090.59721246697</v>
      </c>
      <c r="J24" s="1" t="n">
        <v>8.82</v>
      </c>
      <c r="K24" s="1" t="n">
        <v>1980</v>
      </c>
      <c r="L24" s="14" t="n">
        <f aca="false">1000*K24/$S24</f>
        <v>2365.15058125367</v>
      </c>
      <c r="M24" s="1" t="n">
        <v>11</v>
      </c>
      <c r="N24" s="1" t="n">
        <v>3.7</v>
      </c>
      <c r="O24" s="1" t="n">
        <f aca="false">N24*N$34/100*1000</f>
        <v>1628</v>
      </c>
      <c r="P24" s="14" t="n">
        <f aca="false">1000*O24/$S24</f>
        <v>1944.67936680858</v>
      </c>
      <c r="Q24" s="1" t="n">
        <v>6</v>
      </c>
      <c r="R24" s="1" t="n">
        <v>0.61</v>
      </c>
      <c r="S24" s="1" t="n">
        <v>837.156</v>
      </c>
      <c r="T24" s="1" t="n">
        <v>6.23</v>
      </c>
      <c r="U24" s="2" t="n">
        <f aca="false">H24+F24+B24+D24+K24+O24</f>
        <v>7466</v>
      </c>
      <c r="V24" s="1" t="n">
        <f aca="false">U24-$T$42*1000*T24/100</f>
        <v>3691.36137</v>
      </c>
      <c r="W24" s="1" t="n">
        <f aca="false">ROUND(V24/S24 *100/1000, 2)</f>
        <v>0.44</v>
      </c>
      <c r="Y24" s="1" t="n">
        <f aca="false">T24*50000/100</f>
        <v>3115</v>
      </c>
      <c r="AB24" s="1" t="n">
        <v>1170.6</v>
      </c>
      <c r="AG24" s="1" t="s">
        <v>72</v>
      </c>
      <c r="AH24" s="1" t="n">
        <v>1</v>
      </c>
      <c r="AI24" s="1" t="n">
        <v>98</v>
      </c>
      <c r="AJ24" s="1" t="n">
        <f aca="false">AH24+AI24/100</f>
        <v>1.98</v>
      </c>
      <c r="AK24" s="1" t="n">
        <f aca="false">AJ24*1000</f>
        <v>1980</v>
      </c>
    </row>
    <row r="25" customFormat="false" ht="15" hidden="false" customHeight="true" outlineLevel="0" collapsed="false">
      <c r="A25" s="13" t="s">
        <v>73</v>
      </c>
      <c r="B25" s="14" t="n">
        <v>494</v>
      </c>
      <c r="C25" s="14" t="n">
        <f aca="false">1000*B25/$S25</f>
        <v>901.606282772202</v>
      </c>
      <c r="D25" s="15" t="n">
        <v>427</v>
      </c>
      <c r="E25" s="14" t="n">
        <f aca="false">1000*D25/$S25</f>
        <v>779.323649278806</v>
      </c>
      <c r="F25" s="14" t="n">
        <v>63</v>
      </c>
      <c r="G25" s="14" t="n">
        <f aca="false">1000*F25/$S25</f>
        <v>114.982177762447</v>
      </c>
      <c r="H25" s="14" t="n">
        <v>560</v>
      </c>
      <c r="I25" s="14" t="n">
        <f aca="false">1000*H25/$S25</f>
        <v>1022.06380233286</v>
      </c>
      <c r="J25" s="1" t="n">
        <v>2.15</v>
      </c>
      <c r="K25" s="1" t="n">
        <v>1190</v>
      </c>
      <c r="L25" s="14" t="n">
        <f aca="false">1000*K25/$S25</f>
        <v>2171.88557995733</v>
      </c>
      <c r="M25" s="1" t="n">
        <v>8</v>
      </c>
      <c r="N25" s="1" t="n">
        <v>2.7</v>
      </c>
      <c r="O25" s="1" t="n">
        <f aca="false">N25*N$34/100*1000</f>
        <v>1188</v>
      </c>
      <c r="P25" s="14" t="n">
        <f aca="false">1000*O25/$S25</f>
        <v>2168.23535209186</v>
      </c>
      <c r="Q25" s="1" t="n">
        <v>4.7</v>
      </c>
      <c r="R25" s="1" t="n">
        <v>0.57</v>
      </c>
      <c r="S25" s="1" t="n">
        <v>547.911</v>
      </c>
      <c r="T25" s="1" t="n">
        <v>4.91</v>
      </c>
      <c r="U25" s="2" t="n">
        <f aca="false">H25+F25+B25+D25+K25+O25</f>
        <v>3922</v>
      </c>
      <c r="V25" s="1" t="n">
        <f aca="false">U25-$T$42*1000*T25/100</f>
        <v>947.12429</v>
      </c>
      <c r="W25" s="1" t="n">
        <f aca="false">ROUND(V25/S25 *100/1000, 2)</f>
        <v>0.17</v>
      </c>
      <c r="Y25" s="1" t="n">
        <f aca="false">T25*50000/100</f>
        <v>2455</v>
      </c>
      <c r="AB25" s="1" t="n">
        <v>922.9</v>
      </c>
      <c r="AG25" s="1" t="s">
        <v>74</v>
      </c>
      <c r="AH25" s="1" t="n">
        <v>1</v>
      </c>
      <c r="AI25" s="1" t="n">
        <v>19</v>
      </c>
      <c r="AJ25" s="1" t="n">
        <f aca="false">AH25+AI25/100</f>
        <v>1.19</v>
      </c>
      <c r="AK25" s="1" t="n">
        <f aca="false">AJ25*1000</f>
        <v>1190</v>
      </c>
    </row>
    <row r="26" customFormat="false" ht="15" hidden="false" customHeight="true" outlineLevel="0" collapsed="false">
      <c r="A26" s="17" t="s">
        <v>75</v>
      </c>
      <c r="B26" s="18" t="n">
        <v>136</v>
      </c>
      <c r="C26" s="14" t="n">
        <f aca="false">1000*B26/$S26</f>
        <v>641.88790560472</v>
      </c>
      <c r="D26" s="19" t="n">
        <v>84</v>
      </c>
      <c r="E26" s="14" t="n">
        <f aca="false">1000*D26/$S26</f>
        <v>396.46017699115</v>
      </c>
      <c r="F26" s="20" t="n">
        <v>24.9</v>
      </c>
      <c r="G26" s="14" t="n">
        <f aca="false">1000*F26/$S26</f>
        <v>117.522123893805</v>
      </c>
      <c r="H26" s="18" t="n">
        <v>330</v>
      </c>
      <c r="I26" s="14" t="n">
        <f aca="false">1000*H26/$S26</f>
        <v>1557.52212389381</v>
      </c>
      <c r="J26" s="1" t="n">
        <v>4.14</v>
      </c>
      <c r="K26" s="1" t="n">
        <v>1950</v>
      </c>
      <c r="L26" s="14" t="n">
        <f aca="false">1000*K26/$S26</f>
        <v>9203.53982300885</v>
      </c>
      <c r="M26" s="1" t="n">
        <v>6.4</v>
      </c>
      <c r="N26" s="1" t="n">
        <v>2.1</v>
      </c>
      <c r="O26" s="1" t="n">
        <f aca="false">N26*N$34/100*1000</f>
        <v>924</v>
      </c>
      <c r="P26" s="14" t="n">
        <f aca="false">1000*O26/$S26</f>
        <v>4361.06194690266</v>
      </c>
      <c r="Q26" s="1" t="n">
        <v>1.6</v>
      </c>
      <c r="R26" s="1" t="n">
        <v>1.34</v>
      </c>
      <c r="S26" s="1" t="n">
        <v>211.875</v>
      </c>
      <c r="T26" s="1" t="n">
        <v>1.63</v>
      </c>
      <c r="U26" s="2" t="n">
        <f aca="false">H26+F26+B26+D26+K26+O26</f>
        <v>3448.9</v>
      </c>
      <c r="V26" s="1" t="n">
        <f aca="false">U26-$T$42*1000*T26/100</f>
        <v>2461.31397</v>
      </c>
      <c r="W26" s="1" t="n">
        <f aca="false">ROUND(V26/S26 *100/1000, 2)</f>
        <v>1.16</v>
      </c>
      <c r="Y26" s="1" t="n">
        <f aca="false">T26*50000/100</f>
        <v>815</v>
      </c>
      <c r="AB26" s="1" t="n">
        <v>306.8</v>
      </c>
      <c r="AG26" s="1" t="s">
        <v>76</v>
      </c>
      <c r="AH26" s="1" t="n">
        <v>1</v>
      </c>
      <c r="AI26" s="1" t="n">
        <v>95</v>
      </c>
      <c r="AJ26" s="1" t="n">
        <f aca="false">AH26+AI26/100</f>
        <v>1.95</v>
      </c>
      <c r="AK26" s="1" t="n">
        <f aca="false">AJ26*1000</f>
        <v>1950</v>
      </c>
    </row>
    <row r="27" customFormat="false" ht="15" hidden="false" customHeight="true" outlineLevel="0" collapsed="false">
      <c r="A27" s="13" t="s">
        <v>77</v>
      </c>
      <c r="B27" s="14" t="n">
        <v>133</v>
      </c>
      <c r="C27" s="14" t="n">
        <f aca="false">1000*B27/$S27</f>
        <v>617.708255926284</v>
      </c>
      <c r="D27" s="15" t="n">
        <v>30</v>
      </c>
      <c r="E27" s="14" t="n">
        <f aca="false">1000*D27/$S27</f>
        <v>139.332689306681</v>
      </c>
      <c r="F27" s="16" t="n">
        <v>1.9</v>
      </c>
      <c r="G27" s="14" t="n">
        <f aca="false">1000*F27/$S27</f>
        <v>8.82440365608977</v>
      </c>
      <c r="H27" s="14" t="n">
        <v>121</v>
      </c>
      <c r="I27" s="14" t="n">
        <f aca="false">1000*H27/$S27</f>
        <v>561.975180203611</v>
      </c>
      <c r="J27" s="1" t="n">
        <v>0.87</v>
      </c>
      <c r="K27" s="1" t="n">
        <v>620</v>
      </c>
      <c r="L27" s="14" t="n">
        <f aca="false">1000*K27/$S27</f>
        <v>2879.5422456714</v>
      </c>
      <c r="M27" s="1" t="n">
        <v>3.2</v>
      </c>
      <c r="N27" s="1" t="n">
        <v>1.1</v>
      </c>
      <c r="O27" s="1" t="n">
        <f aca="false">N27*N$34/100*1000</f>
        <v>484</v>
      </c>
      <c r="P27" s="14" t="n">
        <f aca="false">1000*O27/$S27</f>
        <v>2247.90072081445</v>
      </c>
      <c r="Q27" s="1" t="n">
        <v>2.2</v>
      </c>
      <c r="R27" s="1" t="n">
        <v>0.49</v>
      </c>
      <c r="S27" s="1" t="n">
        <v>215.312</v>
      </c>
      <c r="T27" s="1" t="n">
        <v>2.02</v>
      </c>
      <c r="U27" s="2" t="n">
        <f aca="false">H27+F27+B27+D27+K27+O27</f>
        <v>1389.9</v>
      </c>
      <c r="V27" s="1" t="n">
        <f aca="false">U27-$T$42*1000*T27/100</f>
        <v>166.02038</v>
      </c>
      <c r="W27" s="1" t="n">
        <f aca="false">ROUND(V27/S27 *100/1000, 2)</f>
        <v>0.08</v>
      </c>
      <c r="Y27" s="1" t="n">
        <f aca="false">T27*50000/100</f>
        <v>1010</v>
      </c>
      <c r="AB27" s="1" t="n">
        <v>380.1</v>
      </c>
      <c r="AG27" s="1" t="s">
        <v>78</v>
      </c>
      <c r="AH27" s="1" t="n">
        <v>0</v>
      </c>
      <c r="AI27" s="1" t="n">
        <v>62</v>
      </c>
      <c r="AJ27" s="1" t="n">
        <f aca="false">AH27+AI27/100</f>
        <v>0.62</v>
      </c>
      <c r="AK27" s="1" t="n">
        <f aca="false">AJ27*1000</f>
        <v>620</v>
      </c>
    </row>
    <row r="28" customFormat="false" ht="15" hidden="false" customHeight="true" outlineLevel="0" collapsed="false">
      <c r="A28" s="17" t="s">
        <v>79</v>
      </c>
      <c r="B28" s="18" t="n">
        <v>76</v>
      </c>
      <c r="C28" s="14" t="n">
        <f aca="false">1000*B28/$S28</f>
        <v>781.105469793829</v>
      </c>
      <c r="D28" s="19" t="n">
        <v>37</v>
      </c>
      <c r="E28" s="14" t="n">
        <f aca="false">1000*D28/$S28</f>
        <v>380.275031346996</v>
      </c>
      <c r="F28" s="18" t="n">
        <v>0</v>
      </c>
      <c r="G28" s="14" t="n">
        <f aca="false">1000*F28/$S28</f>
        <v>0</v>
      </c>
      <c r="H28" s="18" t="n">
        <v>19</v>
      </c>
      <c r="I28" s="14" t="n">
        <f aca="false">1000*H28/$S28</f>
        <v>195.276367448457</v>
      </c>
      <c r="J28" s="1" t="n">
        <v>0.09</v>
      </c>
      <c r="K28" s="1" t="n">
        <v>400</v>
      </c>
      <c r="L28" s="14" t="n">
        <f aca="false">1000*K28/$S28</f>
        <v>4111.08141996752</v>
      </c>
      <c r="M28" s="1" t="n">
        <v>1.3</v>
      </c>
      <c r="N28" s="1" t="n">
        <v>0.4</v>
      </c>
      <c r="O28" s="1" t="n">
        <f aca="false">N28*N$34/100*1000</f>
        <v>176</v>
      </c>
      <c r="P28" s="14" t="n">
        <f aca="false">1000*O28/$S28</f>
        <v>1808.87582478571</v>
      </c>
      <c r="Q28" s="1" t="n">
        <v>0.7</v>
      </c>
      <c r="R28" s="1" t="n">
        <v>0.63</v>
      </c>
      <c r="S28" s="1" t="n">
        <v>97.298</v>
      </c>
      <c r="T28" s="1" t="n">
        <v>0.73</v>
      </c>
      <c r="U28" s="2" t="n">
        <f aca="false">H28+F28+B28+D28+K28+O28</f>
        <v>708</v>
      </c>
      <c r="V28" s="1" t="n">
        <f aca="false">U28-$T$42*1000*T28/100</f>
        <v>265.70687</v>
      </c>
      <c r="W28" s="1" t="n">
        <f aca="false">ROUND(V28/S28 *100/1000, 2)</f>
        <v>0.27</v>
      </c>
      <c r="Y28" s="1" t="n">
        <f aca="false">T28*50000/100</f>
        <v>365</v>
      </c>
      <c r="AB28" s="1" t="n">
        <v>136.8</v>
      </c>
      <c r="AG28" s="1" t="s">
        <v>80</v>
      </c>
      <c r="AH28" s="1" t="n">
        <v>0</v>
      </c>
      <c r="AI28" s="1" t="n">
        <v>40</v>
      </c>
      <c r="AJ28" s="1" t="n">
        <f aca="false">AH28+AI28/100</f>
        <v>0.4</v>
      </c>
      <c r="AK28" s="1" t="n">
        <f aca="false">AJ28*1000</f>
        <v>400</v>
      </c>
    </row>
    <row r="29" customFormat="false" ht="15" hidden="false" customHeight="true" outlineLevel="0" collapsed="false">
      <c r="A29" s="13" t="s">
        <v>81</v>
      </c>
      <c r="B29" s="14" t="n">
        <v>33</v>
      </c>
      <c r="C29" s="14" t="n">
        <f aca="false">1000*B29/$S29</f>
        <v>641.137728041033</v>
      </c>
      <c r="D29" s="15" t="n">
        <v>14</v>
      </c>
      <c r="E29" s="14" t="n">
        <f aca="false">1000*D29/$S29</f>
        <v>271.997824017408</v>
      </c>
      <c r="F29" s="16" t="n">
        <v>0.4</v>
      </c>
      <c r="G29" s="14" t="n">
        <f aca="false">1000*F29/$S29</f>
        <v>7.77136640049737</v>
      </c>
      <c r="H29" s="14" t="n">
        <v>75</v>
      </c>
      <c r="I29" s="14" t="n">
        <f aca="false">1000*H29/$S29</f>
        <v>1457.13120009326</v>
      </c>
      <c r="J29" s="1" t="n">
        <v>0.05</v>
      </c>
      <c r="K29" s="1" t="n">
        <v>300</v>
      </c>
      <c r="L29" s="14" t="n">
        <f aca="false">1000*K29/$S29</f>
        <v>5828.52480037303</v>
      </c>
      <c r="M29" s="1" t="n">
        <v>1.1</v>
      </c>
      <c r="N29" s="1" t="n">
        <v>0.4</v>
      </c>
      <c r="O29" s="1" t="n">
        <f aca="false">N29*N$34/100*1000</f>
        <v>176</v>
      </c>
      <c r="P29" s="14" t="n">
        <f aca="false">1000*O29/$S29</f>
        <v>3419.40121621884</v>
      </c>
      <c r="Q29" s="1" t="n">
        <v>0.4</v>
      </c>
      <c r="R29" s="1" t="n">
        <v>0.93</v>
      </c>
      <c r="S29" s="1" t="n">
        <v>51.471</v>
      </c>
      <c r="T29" s="1" t="n">
        <v>0.38</v>
      </c>
      <c r="U29" s="2" t="n">
        <f aca="false">H29+F29+B29+D29+K29+O29</f>
        <v>598.4</v>
      </c>
      <c r="V29" s="1" t="n">
        <f aca="false">U29-$T$42*1000*T29/100</f>
        <v>368.16522</v>
      </c>
      <c r="W29" s="1" t="n">
        <f aca="false">ROUND(V29/S29 *100/1000, 2)</f>
        <v>0.72</v>
      </c>
      <c r="Y29" s="1" t="n">
        <f aca="false">T29*50000/100</f>
        <v>190</v>
      </c>
      <c r="AB29" s="1" t="n">
        <v>70.5</v>
      </c>
      <c r="AG29" s="1" t="s">
        <v>82</v>
      </c>
      <c r="AH29" s="1" t="n">
        <v>0</v>
      </c>
      <c r="AI29" s="1" t="n">
        <v>30</v>
      </c>
      <c r="AJ29" s="1" t="n">
        <f aca="false">AH29+AI29/100</f>
        <v>0.3</v>
      </c>
      <c r="AK29" s="1" t="n">
        <f aca="false">AJ29*1000</f>
        <v>300</v>
      </c>
    </row>
    <row r="30" customFormat="false" ht="15" hidden="false" customHeight="true" outlineLevel="0" collapsed="false">
      <c r="A30" s="17" t="s">
        <v>83</v>
      </c>
      <c r="B30" s="18" t="n">
        <v>683</v>
      </c>
      <c r="C30" s="14" t="n">
        <f aca="false">1000*B30/$S30</f>
        <v>562.985554433614</v>
      </c>
      <c r="D30" s="19" t="n">
        <v>830</v>
      </c>
      <c r="E30" s="14" t="n">
        <f aca="false">1000*D30/$S30</f>
        <v>684.155212562079</v>
      </c>
      <c r="F30" s="20" t="n">
        <v>240.6</v>
      </c>
      <c r="G30" s="14" t="n">
        <f aca="false">1000*F30/$S30</f>
        <v>198.32258330414</v>
      </c>
      <c r="H30" s="18" t="n">
        <v>2151</v>
      </c>
      <c r="I30" s="14" t="n">
        <f aca="false">1000*H30/$S30</f>
        <v>1773.033568941</v>
      </c>
      <c r="J30" s="1" t="n">
        <v>15.18</v>
      </c>
      <c r="K30" s="1" t="n">
        <v>9330</v>
      </c>
      <c r="L30" s="14" t="n">
        <f aca="false">1000*K30/$S30</f>
        <v>7690.56401590867</v>
      </c>
      <c r="M30" s="1" t="n">
        <v>30.9</v>
      </c>
      <c r="N30" s="1" t="n">
        <v>10.3</v>
      </c>
      <c r="O30" s="1" t="n">
        <f aca="false">N30*N$34/100*1000</f>
        <v>4532</v>
      </c>
      <c r="P30" s="14" t="n">
        <f aca="false">1000*O30/$S30</f>
        <v>3735.65231726668</v>
      </c>
      <c r="Q30" s="1" t="n">
        <v>8.7</v>
      </c>
      <c r="R30" s="1" t="n">
        <v>1.19</v>
      </c>
      <c r="S30" s="1" t="n">
        <v>1213.175</v>
      </c>
      <c r="T30" s="1" t="n">
        <v>8.98</v>
      </c>
      <c r="U30" s="2" t="n">
        <f aca="false">H30+F30+B30+D30+K30+O30</f>
        <v>17766.6</v>
      </c>
      <c r="V30" s="1" t="n">
        <f aca="false">U30-$T$42*1000*T30/100</f>
        <v>12325.78862</v>
      </c>
      <c r="W30" s="1" t="n">
        <f aca="false">ROUND(V30/S30 *100/1000, 2)</f>
        <v>1.02</v>
      </c>
      <c r="Y30" s="1" t="n">
        <f aca="false">T30*50000/100</f>
        <v>4490</v>
      </c>
      <c r="AB30" s="1" t="n">
        <v>1687.2</v>
      </c>
      <c r="AG30" s="1" t="s">
        <v>84</v>
      </c>
      <c r="AH30" s="1" t="n">
        <v>9</v>
      </c>
      <c r="AI30" s="1" t="n">
        <v>33</v>
      </c>
      <c r="AJ30" s="1" t="n">
        <f aca="false">AH30+AI30/100</f>
        <v>9.33</v>
      </c>
      <c r="AK30" s="1" t="n">
        <f aca="false">AJ30*1000</f>
        <v>9330</v>
      </c>
    </row>
    <row r="31" customFormat="false" ht="15" hidden="false" customHeight="true" outlineLevel="0" collapsed="false">
      <c r="A31" s="13" t="s">
        <v>85</v>
      </c>
      <c r="B31" s="14" t="n">
        <v>189</v>
      </c>
      <c r="C31" s="14" t="n">
        <f aca="false">1000*B31/$S31</f>
        <v>341.958899796996</v>
      </c>
      <c r="D31" s="15" t="n">
        <v>601</v>
      </c>
      <c r="E31" s="14" t="n">
        <f aca="false">1000*D31/$S31</f>
        <v>1087.39311522748</v>
      </c>
      <c r="F31" s="16" t="n">
        <v>245.1</v>
      </c>
      <c r="G31" s="14" t="n">
        <f aca="false">1000*F31/$S31</f>
        <v>443.460985927215</v>
      </c>
      <c r="H31" s="14" t="n">
        <v>712</v>
      </c>
      <c r="I31" s="14" t="n">
        <f aca="false">1000*H31/$S31</f>
        <v>1288.22611987016</v>
      </c>
      <c r="J31" s="1" t="n">
        <v>1.54</v>
      </c>
      <c r="K31" s="1" t="n">
        <v>1160</v>
      </c>
      <c r="L31" s="14" t="n">
        <f aca="false">1000*K31/$S31</f>
        <v>2098.79536383341</v>
      </c>
      <c r="M31" s="1" t="n">
        <v>7.1</v>
      </c>
      <c r="N31" s="1" t="n">
        <v>2.4</v>
      </c>
      <c r="O31" s="1" t="n">
        <f aca="false">N31*N$34/100*1000</f>
        <v>1056</v>
      </c>
      <c r="P31" s="14" t="n">
        <f aca="false">1000*O31/$S31</f>
        <v>1910.62750362766</v>
      </c>
      <c r="Q31" s="1" t="n">
        <v>3</v>
      </c>
      <c r="R31" s="1" t="n">
        <v>0.79</v>
      </c>
      <c r="S31" s="1" t="n">
        <v>552.698</v>
      </c>
      <c r="T31" s="1" t="n">
        <v>3.2</v>
      </c>
      <c r="U31" s="2" t="n">
        <f aca="false">H31+F31+B31+D31+K31+O31</f>
        <v>3963.1</v>
      </c>
      <c r="V31" s="1" t="n">
        <f aca="false">U31-$T$42*1000*T31/100</f>
        <v>2024.2808</v>
      </c>
      <c r="W31" s="1" t="n">
        <f aca="false">ROUND(V31/S31 *100/1000, 2)</f>
        <v>0.37</v>
      </c>
      <c r="Y31" s="1" t="n">
        <f aca="false">T31*50000/100</f>
        <v>1600</v>
      </c>
      <c r="AB31" s="1" t="n">
        <v>601.2</v>
      </c>
      <c r="AG31" s="1" t="s">
        <v>86</v>
      </c>
      <c r="AH31" s="1" t="n">
        <v>1</v>
      </c>
      <c r="AI31" s="1" t="n">
        <v>16</v>
      </c>
      <c r="AJ31" s="1" t="n">
        <f aca="false">AH31+AI31/100</f>
        <v>1.16</v>
      </c>
      <c r="AK31" s="1" t="n">
        <f aca="false">AJ31*1000</f>
        <v>1160</v>
      </c>
    </row>
    <row r="32" s="28" customFormat="true" ht="15" hidden="false" customHeight="true" outlineLevel="0" collapsed="false">
      <c r="A32" s="24" t="s">
        <v>87</v>
      </c>
      <c r="B32" s="25" t="n">
        <v>5847</v>
      </c>
      <c r="C32" s="25"/>
      <c r="D32" s="26" t="n">
        <v>9557</v>
      </c>
      <c r="E32" s="25"/>
      <c r="F32" s="27" t="n">
        <v>8334.6</v>
      </c>
      <c r="G32" s="27"/>
      <c r="H32" s="25" t="n">
        <v>26264</v>
      </c>
      <c r="I32" s="25"/>
      <c r="K32" s="1" t="n">
        <f aca="false">SUM(K5:K31)</f>
        <v>47600</v>
      </c>
      <c r="O32" s="1" t="n">
        <f aca="false">SUM(O5:O31)</f>
        <v>44088</v>
      </c>
      <c r="Q32" s="28" t="n">
        <v>100</v>
      </c>
      <c r="S32" s="1"/>
      <c r="T32" s="28" t="n">
        <v>100</v>
      </c>
      <c r="U32" s="2" t="n">
        <f aca="false">H32+F32+B32+D32+K32+O32</f>
        <v>141690.6</v>
      </c>
      <c r="V32" s="1" t="n">
        <f aca="false">U32-$T$42*1000*T32/100</f>
        <v>81102.5</v>
      </c>
      <c r="W32" s="28" t="e">
        <f aca="false">ROUND(V32/S32 *100/1000, 2)</f>
        <v>#DIV/0!</v>
      </c>
      <c r="Y32" s="28" t="n">
        <f aca="false">T32*50000/100</f>
        <v>50000</v>
      </c>
      <c r="AB32" s="28" t="n">
        <v>18796</v>
      </c>
      <c r="AK32" s="28" t="n">
        <f aca="false">SUM(AK5:AK31)</f>
        <v>47600</v>
      </c>
      <c r="XFD32" s="1"/>
    </row>
    <row r="33" customFormat="false" ht="13.8" hidden="false" customHeight="false" outlineLevel="0" collapsed="false">
      <c r="B33" s="1" t="n">
        <f aca="false">SUM(B5:B31)</f>
        <v>5847</v>
      </c>
      <c r="D33" s="1" t="n">
        <f aca="false">SUM(D5:D31)</f>
        <v>9561</v>
      </c>
      <c r="F33" s="1" t="n">
        <f aca="false">SUM(F5:F31)</f>
        <v>8334.5</v>
      </c>
      <c r="H33" s="1" t="n">
        <f aca="false">SUM(H5:H31)</f>
        <v>26264</v>
      </c>
      <c r="K33" s="1" t="n">
        <f aca="false">SUM(K5:K31)</f>
        <v>47600</v>
      </c>
      <c r="O33" s="1" t="n">
        <f aca="false">SUM(O5:O31)</f>
        <v>44088</v>
      </c>
      <c r="U33" s="2" t="n">
        <f aca="false">SUM(U5:U31)</f>
        <v>141588.1</v>
      </c>
      <c r="V33" s="1" t="n">
        <f aca="false">SUM(V5:V31)</f>
        <v>80800.05927</v>
      </c>
    </row>
    <row r="34" customFormat="false" ht="15" hidden="false" customHeight="true" outlineLevel="0" collapsed="false">
      <c r="J34" s="29" t="n">
        <v>93</v>
      </c>
      <c r="N34" s="29" t="n">
        <v>44</v>
      </c>
    </row>
    <row r="35" customFormat="false" ht="13.8" hidden="false" customHeight="false" outlineLevel="0" collapsed="false">
      <c r="B35" s="30" t="s">
        <v>88</v>
      </c>
      <c r="C35" s="31" t="n">
        <f aca="false">SUM(B32:O32)</f>
        <v>141690.6</v>
      </c>
      <c r="D35" s="31"/>
      <c r="E35" s="31"/>
    </row>
    <row r="36" customFormat="false" ht="13.8" hidden="false" customHeight="false" outlineLevel="0" collapsed="false">
      <c r="B36" s="30"/>
      <c r="C36" s="31"/>
      <c r="D36" s="31"/>
      <c r="E36" s="31"/>
    </row>
    <row r="37" customFormat="false" ht="16.4" hidden="false" customHeight="false" outlineLevel="0" collapsed="false">
      <c r="B37" s="30"/>
      <c r="C37" s="31"/>
      <c r="D37" s="31"/>
      <c r="E37" s="31"/>
      <c r="S37" s="32" t="s">
        <v>89</v>
      </c>
      <c r="T37" s="33" t="n">
        <v>192.8</v>
      </c>
      <c r="U37" s="34"/>
      <c r="V37" s="35"/>
    </row>
    <row r="38" customFormat="false" ht="13.8" hidden="false" customHeight="false" outlineLevel="0" collapsed="false">
      <c r="S38" s="32" t="s">
        <v>90</v>
      </c>
      <c r="T38" s="32" t="n">
        <f aca="false">T37*0.7</f>
        <v>134.96</v>
      </c>
      <c r="U38" s="34"/>
      <c r="V38" s="35"/>
    </row>
    <row r="39" customFormat="false" ht="13.8" hidden="false" customHeight="false" outlineLevel="0" collapsed="false">
      <c r="S39" s="32"/>
      <c r="T39" s="32"/>
      <c r="U39" s="34"/>
      <c r="V39" s="35"/>
    </row>
    <row r="40" customFormat="false" ht="13.8" hidden="false" customHeight="false" outlineLevel="0" collapsed="false">
      <c r="S40" s="36" t="s">
        <v>91</v>
      </c>
      <c r="T40" s="37" t="n">
        <v>20</v>
      </c>
      <c r="U40" s="34"/>
      <c r="V40" s="35"/>
    </row>
    <row r="41" customFormat="false" ht="13.8" hidden="false" customHeight="false" outlineLevel="0" collapsed="false">
      <c r="Q41" s="38" t="s">
        <v>92</v>
      </c>
      <c r="S41" s="36" t="s">
        <v>93</v>
      </c>
      <c r="T41" s="36" t="n">
        <f aca="false">U33/1000 -T40</f>
        <v>121.5881</v>
      </c>
      <c r="U41" s="34"/>
      <c r="V41" s="35"/>
    </row>
    <row r="42" customFormat="false" ht="13.8" hidden="false" customHeight="false" outlineLevel="0" collapsed="false">
      <c r="S42" s="36" t="s">
        <v>94</v>
      </c>
      <c r="T42" s="36" t="n">
        <f aca="false">T41-T43-T44</f>
        <v>60.5881</v>
      </c>
      <c r="U42" s="34"/>
      <c r="V42" s="35"/>
    </row>
    <row r="43" customFormat="false" ht="13.8" hidden="false" customHeight="false" outlineLevel="0" collapsed="false">
      <c r="S43" s="36" t="s">
        <v>95</v>
      </c>
      <c r="T43" s="37" t="n">
        <v>35</v>
      </c>
      <c r="U43" s="34"/>
      <c r="V43" s="35"/>
    </row>
    <row r="44" customFormat="false" ht="13.8" hidden="false" customHeight="false" outlineLevel="0" collapsed="false">
      <c r="S44" s="36" t="s">
        <v>96</v>
      </c>
      <c r="T44" s="37" t="n">
        <v>26</v>
      </c>
      <c r="U44" s="34"/>
      <c r="V44" s="35"/>
    </row>
    <row r="45" customFormat="false" ht="13.8" hidden="false" customHeight="false" outlineLevel="0" collapsed="false">
      <c r="B45" s="35"/>
      <c r="C45" s="35"/>
      <c r="D45" s="35"/>
      <c r="E45" s="35"/>
      <c r="F45" s="35"/>
      <c r="G45" s="35"/>
      <c r="H45" s="35"/>
      <c r="I45" s="35"/>
      <c r="S45" s="36" t="s">
        <v>97</v>
      </c>
      <c r="T45" s="36" t="n">
        <f aca="false">T37+T43</f>
        <v>227.8</v>
      </c>
      <c r="U45" s="34"/>
      <c r="V45" s="35"/>
    </row>
    <row r="46" customFormat="false" ht="13.8" hidden="false" customHeight="false" outlineLevel="0" collapsed="false">
      <c r="B46" s="35"/>
      <c r="C46" s="35"/>
      <c r="D46" s="35"/>
      <c r="E46" s="35"/>
      <c r="F46" s="35"/>
      <c r="G46" s="35"/>
      <c r="H46" s="35"/>
      <c r="I46" s="35"/>
      <c r="S46" s="36" t="s">
        <v>90</v>
      </c>
      <c r="T46" s="36" t="n">
        <f aca="false">T38-T42</f>
        <v>74.3719</v>
      </c>
      <c r="U46" s="34"/>
      <c r="V46" s="35"/>
    </row>
    <row r="47" customFormat="false" ht="13.8" hidden="false" customHeight="false" outlineLevel="0" collapsed="false">
      <c r="B47" s="35"/>
      <c r="C47" s="35"/>
      <c r="D47" s="35"/>
      <c r="E47" s="35"/>
      <c r="F47" s="35"/>
      <c r="G47" s="35"/>
      <c r="H47" s="35"/>
      <c r="I47" s="35"/>
      <c r="S47" s="36" t="s">
        <v>98</v>
      </c>
      <c r="T47" s="36" t="n">
        <f aca="false">T46/T45</f>
        <v>0.326478928884987</v>
      </c>
      <c r="U47" s="34"/>
      <c r="V47" s="35"/>
    </row>
    <row r="50" customFormat="false" ht="18" hidden="false" customHeight="true" outlineLevel="0" collapsed="false">
      <c r="A50" s="39"/>
      <c r="O50" s="1"/>
      <c r="P50" s="1"/>
      <c r="V50" s="1" t="s">
        <v>99</v>
      </c>
      <c r="Y50" s="1" t="s">
        <v>100</v>
      </c>
    </row>
    <row r="52" customFormat="false" ht="18" hidden="false" customHeight="true" outlineLevel="0" collapsed="false">
      <c r="A52" s="39"/>
      <c r="K52" s="1" t="s">
        <v>5</v>
      </c>
      <c r="O52" s="1" t="s">
        <v>32</v>
      </c>
      <c r="P52" s="1"/>
    </row>
  </sheetData>
  <mergeCells count="3">
    <mergeCell ref="A1:A3"/>
    <mergeCell ref="B35:B37"/>
    <mergeCell ref="C35:E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2026-09-04T11:21:49Z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