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abre\Documents\www\rapport-GRA-ft.-GC\"/>
    </mc:Choice>
  </mc:AlternateContent>
  <bookViews>
    <workbookView xWindow="0" yWindow="0" windowWidth="16380" windowHeight="8190" tabRatio="500"/>
  </bookViews>
  <sheets>
    <sheet name="Combined_2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8" i="1" l="1"/>
  <c r="Q41" i="1"/>
  <c r="P36" i="1"/>
  <c r="O36" i="1"/>
  <c r="L36" i="1"/>
  <c r="H36" i="1"/>
  <c r="F36" i="1"/>
  <c r="D36" i="1"/>
  <c r="B36" i="1"/>
  <c r="Y35" i="1"/>
  <c r="BC34" i="1"/>
  <c r="AS34" i="1"/>
  <c r="AR34" i="1"/>
  <c r="AK34" i="1"/>
  <c r="AL34" i="1" s="1"/>
  <c r="Y34" i="1"/>
  <c r="Z34" i="1" s="1"/>
  <c r="Q34" i="1"/>
  <c r="M34" i="1"/>
  <c r="N34" i="1" s="1"/>
  <c r="J34" i="1"/>
  <c r="R34" i="1" s="1"/>
  <c r="S34" i="1" s="1"/>
  <c r="I34" i="1"/>
  <c r="G34" i="1"/>
  <c r="E34" i="1"/>
  <c r="C34" i="1"/>
  <c r="BC33" i="1"/>
  <c r="AS33" i="1"/>
  <c r="AR33" i="1"/>
  <c r="AL33" i="1"/>
  <c r="AK33" i="1"/>
  <c r="T33" i="1"/>
  <c r="Q33" i="1"/>
  <c r="Y33" i="1" s="1"/>
  <c r="Z33" i="1" s="1"/>
  <c r="M33" i="1"/>
  <c r="N33" i="1" s="1"/>
  <c r="J33" i="1"/>
  <c r="R33" i="1" s="1"/>
  <c r="S33" i="1" s="1"/>
  <c r="I33" i="1"/>
  <c r="G33" i="1"/>
  <c r="E33" i="1"/>
  <c r="C33" i="1"/>
  <c r="BC32" i="1"/>
  <c r="AS32" i="1"/>
  <c r="AR32" i="1"/>
  <c r="AL32" i="1"/>
  <c r="AK32" i="1"/>
  <c r="R32" i="1"/>
  <c r="S32" i="1" s="1"/>
  <c r="Q32" i="1"/>
  <c r="Y32" i="1" s="1"/>
  <c r="Z32" i="1" s="1"/>
  <c r="N32" i="1"/>
  <c r="M32" i="1"/>
  <c r="K32" i="1"/>
  <c r="J32" i="1"/>
  <c r="I32" i="1"/>
  <c r="G32" i="1"/>
  <c r="E32" i="1"/>
  <c r="C32" i="1"/>
  <c r="BC31" i="1"/>
  <c r="AS31" i="1"/>
  <c r="AR31" i="1"/>
  <c r="AK31" i="1"/>
  <c r="AL31" i="1" s="1"/>
  <c r="Y31" i="1"/>
  <c r="Z31" i="1" s="1"/>
  <c r="Q31" i="1"/>
  <c r="M31" i="1"/>
  <c r="N31" i="1" s="1"/>
  <c r="J31" i="1"/>
  <c r="R31" i="1" s="1"/>
  <c r="S31" i="1" s="1"/>
  <c r="I31" i="1"/>
  <c r="G31" i="1"/>
  <c r="E31" i="1"/>
  <c r="C31" i="1"/>
  <c r="BC30" i="1"/>
  <c r="AS30" i="1"/>
  <c r="AR30" i="1"/>
  <c r="AL30" i="1"/>
  <c r="AK30" i="1"/>
  <c r="R30" i="1"/>
  <c r="S30" i="1" s="1"/>
  <c r="Q30" i="1"/>
  <c r="Y30" i="1" s="1"/>
  <c r="Z30" i="1" s="1"/>
  <c r="N30" i="1"/>
  <c r="M30" i="1"/>
  <c r="K30" i="1"/>
  <c r="J30" i="1"/>
  <c r="I30" i="1"/>
  <c r="G30" i="1"/>
  <c r="E30" i="1"/>
  <c r="C30" i="1"/>
  <c r="BC29" i="1"/>
  <c r="AR29" i="1"/>
  <c r="AS29" i="1" s="1"/>
  <c r="AK29" i="1"/>
  <c r="AL29" i="1" s="1"/>
  <c r="Q29" i="1"/>
  <c r="Y29" i="1" s="1"/>
  <c r="Z29" i="1" s="1"/>
  <c r="N29" i="1"/>
  <c r="M29" i="1"/>
  <c r="J29" i="1"/>
  <c r="K29" i="1" s="1"/>
  <c r="I29" i="1"/>
  <c r="G29" i="1"/>
  <c r="E29" i="1"/>
  <c r="C29" i="1"/>
  <c r="BC28" i="1"/>
  <c r="AR28" i="1"/>
  <c r="AS28" i="1" s="1"/>
  <c r="AL28" i="1"/>
  <c r="AK28" i="1"/>
  <c r="R28" i="1"/>
  <c r="S28" i="1" s="1"/>
  <c r="Q28" i="1"/>
  <c r="Y28" i="1" s="1"/>
  <c r="Z28" i="1" s="1"/>
  <c r="N28" i="1"/>
  <c r="M28" i="1"/>
  <c r="K28" i="1"/>
  <c r="J28" i="1"/>
  <c r="I28" i="1"/>
  <c r="G28" i="1"/>
  <c r="E28" i="1"/>
  <c r="C28" i="1"/>
  <c r="BC27" i="1"/>
  <c r="AR27" i="1"/>
  <c r="AS27" i="1" s="1"/>
  <c r="AL27" i="1"/>
  <c r="AK27" i="1"/>
  <c r="Y27" i="1"/>
  <c r="Z27" i="1" s="1"/>
  <c r="Q27" i="1"/>
  <c r="N27" i="1"/>
  <c r="M27" i="1"/>
  <c r="J27" i="1"/>
  <c r="R27" i="1" s="1"/>
  <c r="S27" i="1" s="1"/>
  <c r="I27" i="1"/>
  <c r="G27" i="1"/>
  <c r="E27" i="1"/>
  <c r="C27" i="1"/>
  <c r="BC26" i="1"/>
  <c r="AS26" i="1"/>
  <c r="AR26" i="1"/>
  <c r="AL26" i="1"/>
  <c r="AK26" i="1"/>
  <c r="Y26" i="1"/>
  <c r="Z26" i="1" s="1"/>
  <c r="R26" i="1"/>
  <c r="S26" i="1" s="1"/>
  <c r="Q26" i="1"/>
  <c r="N26" i="1"/>
  <c r="M26" i="1"/>
  <c r="K26" i="1"/>
  <c r="J26" i="1"/>
  <c r="I26" i="1"/>
  <c r="G26" i="1"/>
  <c r="E26" i="1"/>
  <c r="C26" i="1"/>
  <c r="BC25" i="1"/>
  <c r="AS25" i="1"/>
  <c r="AR25" i="1"/>
  <c r="AL25" i="1"/>
  <c r="AK25" i="1"/>
  <c r="Y25" i="1"/>
  <c r="Z25" i="1" s="1"/>
  <c r="Q25" i="1"/>
  <c r="M25" i="1"/>
  <c r="N25" i="1" s="1"/>
  <c r="J25" i="1"/>
  <c r="R25" i="1" s="1"/>
  <c r="S25" i="1" s="1"/>
  <c r="I25" i="1"/>
  <c r="G25" i="1"/>
  <c r="E25" i="1"/>
  <c r="C25" i="1"/>
  <c r="BC24" i="1"/>
  <c r="AS24" i="1"/>
  <c r="AR24" i="1"/>
  <c r="AL24" i="1"/>
  <c r="AK24" i="1"/>
  <c r="R24" i="1"/>
  <c r="S24" i="1" s="1"/>
  <c r="Q24" i="1"/>
  <c r="Y24" i="1" s="1"/>
  <c r="Z24" i="1" s="1"/>
  <c r="M24" i="1"/>
  <c r="N24" i="1" s="1"/>
  <c r="K24" i="1"/>
  <c r="J24" i="1"/>
  <c r="I24" i="1"/>
  <c r="G24" i="1"/>
  <c r="E24" i="1"/>
  <c r="C24" i="1"/>
  <c r="BC23" i="1"/>
  <c r="AR23" i="1"/>
  <c r="AS23" i="1" s="1"/>
  <c r="AK23" i="1"/>
  <c r="AL23" i="1" s="1"/>
  <c r="Q23" i="1"/>
  <c r="Y23" i="1" s="1"/>
  <c r="Z23" i="1" s="1"/>
  <c r="M23" i="1"/>
  <c r="N23" i="1" s="1"/>
  <c r="K23" i="1"/>
  <c r="J23" i="1"/>
  <c r="R23" i="1" s="1"/>
  <c r="S23" i="1" s="1"/>
  <c r="I23" i="1"/>
  <c r="G23" i="1"/>
  <c r="E23" i="1"/>
  <c r="C23" i="1"/>
  <c r="BC22" i="1"/>
  <c r="AR22" i="1"/>
  <c r="AS22" i="1" s="1"/>
  <c r="AK22" i="1"/>
  <c r="AL22" i="1" s="1"/>
  <c r="T22" i="1"/>
  <c r="Q22" i="1"/>
  <c r="Y22" i="1" s="1"/>
  <c r="Z22" i="1" s="1"/>
  <c r="M22" i="1"/>
  <c r="N22" i="1" s="1"/>
  <c r="J22" i="1"/>
  <c r="R22" i="1" s="1"/>
  <c r="S22" i="1" s="1"/>
  <c r="I22" i="1"/>
  <c r="G22" i="1"/>
  <c r="E22" i="1"/>
  <c r="C22" i="1"/>
  <c r="BC21" i="1"/>
  <c r="AS21" i="1"/>
  <c r="AR21" i="1"/>
  <c r="AL21" i="1"/>
  <c r="AK21" i="1"/>
  <c r="T21" i="1"/>
  <c r="Q21" i="1"/>
  <c r="Y21" i="1" s="1"/>
  <c r="Z21" i="1" s="1"/>
  <c r="N21" i="1"/>
  <c r="M21" i="1"/>
  <c r="J21" i="1"/>
  <c r="R21" i="1" s="1"/>
  <c r="S21" i="1" s="1"/>
  <c r="I21" i="1"/>
  <c r="G21" i="1"/>
  <c r="E21" i="1"/>
  <c r="C21" i="1"/>
  <c r="BC20" i="1"/>
  <c r="AS20" i="1"/>
  <c r="AR20" i="1"/>
  <c r="AK20" i="1"/>
  <c r="AL20" i="1" s="1"/>
  <c r="Y20" i="1"/>
  <c r="Z20" i="1" s="1"/>
  <c r="R20" i="1"/>
  <c r="S20" i="1" s="1"/>
  <c r="Q20" i="1"/>
  <c r="N20" i="1"/>
  <c r="M20" i="1"/>
  <c r="K20" i="1"/>
  <c r="J20" i="1"/>
  <c r="I20" i="1"/>
  <c r="G20" i="1"/>
  <c r="E20" i="1"/>
  <c r="C20" i="1"/>
  <c r="BC19" i="1"/>
  <c r="AS19" i="1"/>
  <c r="AR19" i="1"/>
  <c r="AL19" i="1"/>
  <c r="AK19" i="1"/>
  <c r="Y19" i="1"/>
  <c r="Z19" i="1" s="1"/>
  <c r="T19" i="1"/>
  <c r="R19" i="1"/>
  <c r="S19" i="1" s="1"/>
  <c r="Q19" i="1"/>
  <c r="M19" i="1"/>
  <c r="N19" i="1" s="1"/>
  <c r="J19" i="1"/>
  <c r="K19" i="1" s="1"/>
  <c r="I19" i="1"/>
  <c r="G19" i="1"/>
  <c r="E19" i="1"/>
  <c r="C19" i="1"/>
  <c r="BC18" i="1"/>
  <c r="AR18" i="1"/>
  <c r="AS18" i="1" s="1"/>
  <c r="AL18" i="1"/>
  <c r="AK18" i="1"/>
  <c r="Y18" i="1"/>
  <c r="Z18" i="1" s="1"/>
  <c r="Q18" i="1"/>
  <c r="N18" i="1"/>
  <c r="M18" i="1"/>
  <c r="J18" i="1"/>
  <c r="R18" i="1" s="1"/>
  <c r="S18" i="1" s="1"/>
  <c r="I18" i="1"/>
  <c r="G18" i="1"/>
  <c r="E18" i="1"/>
  <c r="C18" i="1"/>
  <c r="BC17" i="1"/>
  <c r="AS17" i="1"/>
  <c r="AR17" i="1"/>
  <c r="AK17" i="1"/>
  <c r="AL17" i="1" s="1"/>
  <c r="T17" i="1"/>
  <c r="Q17" i="1"/>
  <c r="Y17" i="1" s="1"/>
  <c r="Z17" i="1" s="1"/>
  <c r="N17" i="1"/>
  <c r="M17" i="1"/>
  <c r="J17" i="1"/>
  <c r="K17" i="1" s="1"/>
  <c r="I17" i="1"/>
  <c r="G17" i="1"/>
  <c r="E17" i="1"/>
  <c r="C17" i="1"/>
  <c r="BC16" i="1"/>
  <c r="AR16" i="1"/>
  <c r="AS16" i="1" s="1"/>
  <c r="AK16" i="1"/>
  <c r="AL16" i="1" s="1"/>
  <c r="R16" i="1"/>
  <c r="S16" i="1" s="1"/>
  <c r="Q16" i="1"/>
  <c r="Y16" i="1" s="1"/>
  <c r="Z16" i="1" s="1"/>
  <c r="M16" i="1"/>
  <c r="N16" i="1" s="1"/>
  <c r="J16" i="1"/>
  <c r="K16" i="1" s="1"/>
  <c r="I16" i="1"/>
  <c r="G16" i="1"/>
  <c r="E16" i="1"/>
  <c r="C16" i="1"/>
  <c r="BC15" i="1"/>
  <c r="AR15" i="1"/>
  <c r="AS15" i="1" s="1"/>
  <c r="AL15" i="1"/>
  <c r="AK15" i="1"/>
  <c r="Y15" i="1"/>
  <c r="Z15" i="1" s="1"/>
  <c r="Q15" i="1"/>
  <c r="N15" i="1"/>
  <c r="M15" i="1"/>
  <c r="J15" i="1"/>
  <c r="R15" i="1" s="1"/>
  <c r="S15" i="1" s="1"/>
  <c r="I15" i="1"/>
  <c r="G15" i="1"/>
  <c r="E15" i="1"/>
  <c r="C15" i="1"/>
  <c r="BC14" i="1"/>
  <c r="AS14" i="1"/>
  <c r="AR14" i="1"/>
  <c r="AK14" i="1"/>
  <c r="AL14" i="1" s="1"/>
  <c r="Y14" i="1"/>
  <c r="Z14" i="1" s="1"/>
  <c r="R14" i="1"/>
  <c r="S14" i="1" s="1"/>
  <c r="Q14" i="1"/>
  <c r="N14" i="1"/>
  <c r="M14" i="1"/>
  <c r="K14" i="1"/>
  <c r="J14" i="1"/>
  <c r="I14" i="1"/>
  <c r="G14" i="1"/>
  <c r="E14" i="1"/>
  <c r="C14" i="1"/>
  <c r="BC13" i="1"/>
  <c r="AS13" i="1"/>
  <c r="AR13" i="1"/>
  <c r="AL13" i="1"/>
  <c r="AK13" i="1"/>
  <c r="Q13" i="1"/>
  <c r="Y13" i="1" s="1"/>
  <c r="Z13" i="1" s="1"/>
  <c r="M13" i="1"/>
  <c r="N13" i="1" s="1"/>
  <c r="J13" i="1"/>
  <c r="R13" i="1" s="1"/>
  <c r="S13" i="1" s="1"/>
  <c r="I13" i="1"/>
  <c r="G13" i="1"/>
  <c r="E13" i="1"/>
  <c r="C13" i="1"/>
  <c r="BC12" i="1"/>
  <c r="AS12" i="1"/>
  <c r="AR12" i="1"/>
  <c r="AL12" i="1"/>
  <c r="AK12" i="1"/>
  <c r="Q12" i="1"/>
  <c r="Y12" i="1" s="1"/>
  <c r="Z12" i="1" s="1"/>
  <c r="M12" i="1"/>
  <c r="R12" i="1" s="1"/>
  <c r="S12" i="1" s="1"/>
  <c r="J12" i="1"/>
  <c r="K12" i="1" s="1"/>
  <c r="I12" i="1"/>
  <c r="G12" i="1"/>
  <c r="E12" i="1"/>
  <c r="C12" i="1"/>
  <c r="BC11" i="1"/>
  <c r="AR11" i="1"/>
  <c r="AS11" i="1" s="1"/>
  <c r="AK11" i="1"/>
  <c r="AL11" i="1" s="1"/>
  <c r="Q11" i="1"/>
  <c r="Y11" i="1" s="1"/>
  <c r="Z11" i="1" s="1"/>
  <c r="M11" i="1"/>
  <c r="N11" i="1" s="1"/>
  <c r="K11" i="1"/>
  <c r="J11" i="1"/>
  <c r="R11" i="1" s="1"/>
  <c r="S11" i="1" s="1"/>
  <c r="I11" i="1"/>
  <c r="G11" i="1"/>
  <c r="E11" i="1"/>
  <c r="C11" i="1"/>
  <c r="BC10" i="1"/>
  <c r="AR10" i="1"/>
  <c r="AS10" i="1" s="1"/>
  <c r="AK10" i="1"/>
  <c r="AL10" i="1" s="1"/>
  <c r="Y10" i="1"/>
  <c r="Z10" i="1" s="1"/>
  <c r="S10" i="1"/>
  <c r="R10" i="1"/>
  <c r="Q10" i="1"/>
  <c r="N10" i="1"/>
  <c r="M10" i="1"/>
  <c r="J10" i="1"/>
  <c r="K10" i="1" s="1"/>
  <c r="I10" i="1"/>
  <c r="G10" i="1"/>
  <c r="E10" i="1"/>
  <c r="C10" i="1"/>
  <c r="BC9" i="1"/>
  <c r="AR9" i="1"/>
  <c r="AS9" i="1" s="1"/>
  <c r="AK9" i="1"/>
  <c r="AL9" i="1" s="1"/>
  <c r="T9" i="1"/>
  <c r="Q9" i="1"/>
  <c r="Y9" i="1" s="1"/>
  <c r="Z9" i="1" s="1"/>
  <c r="M9" i="1"/>
  <c r="N9" i="1" s="1"/>
  <c r="J9" i="1"/>
  <c r="R9" i="1" s="1"/>
  <c r="S9" i="1" s="1"/>
  <c r="I9" i="1"/>
  <c r="G9" i="1"/>
  <c r="E9" i="1"/>
  <c r="C9" i="1"/>
  <c r="BC8" i="1"/>
  <c r="AR8" i="1"/>
  <c r="AR35" i="1" s="1"/>
  <c r="AK8" i="1"/>
  <c r="AL8" i="1" s="1"/>
  <c r="AL35" i="1" s="1"/>
  <c r="Y8" i="1"/>
  <c r="Z8" i="1" s="1"/>
  <c r="T8" i="1"/>
  <c r="R8" i="1"/>
  <c r="Q8" i="1"/>
  <c r="N8" i="1"/>
  <c r="M8" i="1"/>
  <c r="M35" i="1" s="1"/>
  <c r="R35" i="1" s="1"/>
  <c r="K8" i="1"/>
  <c r="J8" i="1"/>
  <c r="J35" i="1" s="1"/>
  <c r="C38" i="1" s="1"/>
  <c r="I8" i="1"/>
  <c r="G8" i="1"/>
  <c r="E8" i="1"/>
  <c r="C8" i="1"/>
  <c r="R17" i="1" l="1"/>
  <c r="S17" i="1" s="1"/>
  <c r="R29" i="1"/>
  <c r="S29" i="1" s="1"/>
  <c r="K33" i="1"/>
  <c r="K15" i="1"/>
  <c r="K18" i="1"/>
  <c r="K21" i="1"/>
  <c r="K27" i="1"/>
  <c r="K9" i="1"/>
  <c r="M36" i="1"/>
  <c r="S8" i="1"/>
  <c r="N12" i="1"/>
  <c r="K31" i="1"/>
  <c r="K34" i="1"/>
  <c r="K13" i="1"/>
  <c r="K22" i="1"/>
  <c r="K25" i="1"/>
  <c r="AS8" i="1"/>
  <c r="R36" i="1" l="1"/>
  <c r="Q44" i="1" s="1"/>
  <c r="Q45" i="1" s="1"/>
  <c r="U28" i="1" l="1"/>
  <c r="U16" i="1"/>
  <c r="U34" i="1"/>
  <c r="U31" i="1"/>
  <c r="U33" i="1"/>
  <c r="U30" i="1"/>
  <c r="U24" i="1"/>
  <c r="U12" i="1"/>
  <c r="U27" i="1"/>
  <c r="U18" i="1"/>
  <c r="U15" i="1"/>
  <c r="U22" i="1"/>
  <c r="U11" i="1"/>
  <c r="U23" i="1"/>
  <c r="U26" i="1"/>
  <c r="U20" i="1"/>
  <c r="U14" i="1"/>
  <c r="U29" i="1"/>
  <c r="U32" i="1"/>
  <c r="U10" i="1"/>
  <c r="U25" i="1"/>
  <c r="U19" i="1"/>
  <c r="U13" i="1"/>
  <c r="U21" i="1"/>
  <c r="U8" i="1"/>
  <c r="U17" i="1"/>
  <c r="U9" i="1"/>
  <c r="Q49" i="1"/>
  <c r="Q50" i="1" s="1"/>
  <c r="W26" i="1" l="1"/>
  <c r="V26" i="1"/>
  <c r="W11" i="1"/>
  <c r="V11" i="1"/>
  <c r="W9" i="1"/>
  <c r="V9" i="1"/>
  <c r="W24" i="1"/>
  <c r="V24" i="1"/>
  <c r="W23" i="1"/>
  <c r="V23" i="1"/>
  <c r="W15" i="1"/>
  <c r="V15" i="1"/>
  <c r="V13" i="1"/>
  <c r="W13" i="1"/>
  <c r="W20" i="1"/>
  <c r="V20" i="1"/>
  <c r="W22" i="1"/>
  <c r="V22" i="1"/>
  <c r="W17" i="1"/>
  <c r="V17" i="1"/>
  <c r="W18" i="1"/>
  <c r="V18" i="1"/>
  <c r="U35" i="1"/>
  <c r="W35" i="1" s="1"/>
  <c r="W8" i="1"/>
  <c r="V8" i="1"/>
  <c r="W27" i="1"/>
  <c r="V27" i="1"/>
  <c r="V21" i="1"/>
  <c r="W21" i="1"/>
  <c r="V12" i="1"/>
  <c r="W12" i="1"/>
  <c r="V19" i="1"/>
  <c r="W19" i="1"/>
  <c r="W30" i="1"/>
  <c r="V30" i="1"/>
  <c r="V25" i="1"/>
  <c r="W25" i="1"/>
  <c r="W33" i="1"/>
  <c r="V33" i="1"/>
  <c r="W10" i="1"/>
  <c r="V10" i="1"/>
  <c r="V31" i="1"/>
  <c r="W31" i="1"/>
  <c r="W32" i="1"/>
  <c r="V32" i="1"/>
  <c r="V34" i="1"/>
  <c r="W34" i="1"/>
  <c r="W29" i="1"/>
  <c r="V29" i="1"/>
  <c r="W16" i="1"/>
  <c r="V16" i="1"/>
  <c r="W14" i="1"/>
  <c r="V14" i="1"/>
  <c r="W28" i="1"/>
  <c r="V28" i="1"/>
</calcChain>
</file>

<file path=xl/sharedStrings.xml><?xml version="1.0" encoding="utf-8"?>
<sst xmlns="http://schemas.openxmlformats.org/spreadsheetml/2006/main" count="340" uniqueCount="212">
  <si>
    <t>Country</t>
  </si>
  <si>
    <t>DST</t>
  </si>
  <si>
    <t>Ad Tax</t>
  </si>
  <si>
    <t>FTT</t>
  </si>
  <si>
    <t>Wealth Tax</t>
  </si>
  <si>
    <t>Aviation carbon tax</t>
  </si>
  <si>
    <t>Luxury VAT</t>
  </si>
  <si>
    <t>GNI</t>
  </si>
  <si>
    <t>a</t>
  </si>
  <si>
    <t>GDP 2025 (Eurostat)</t>
  </si>
  <si>
    <t>revenues</t>
  </si>
  <si>
    <t>source</t>
  </si>
  <si>
    <t>Share s</t>
  </si>
  <si>
    <t>already NOR</t>
  </si>
  <si>
    <t>Our scenario</t>
  </si>
  <si>
    <t>Scenario 0</t>
  </si>
  <si>
    <t>+ externalité</t>
  </si>
  <si>
    <t>GDP</t>
  </si>
  <si>
    <t>Millions EUR</t>
  </si>
  <si>
    <t>/GNI %</t>
  </si>
  <si>
    <t>(%)</t>
  </si>
  <si>
    <t>NOR total (Ad 80%)</t>
  </si>
  <si>
    <t>rapporté au PIB ( %)</t>
  </si>
  <si>
    <t>50 bn répartis par s</t>
  </si>
  <si>
    <t>(EUR bn)</t>
  </si>
  <si>
    <t>table</t>
  </si>
  <si>
    <t>A 3\% DST</t>
  </si>
  <si>
    <t xml:space="preserve">15\% Ad tax </t>
  </si>
  <si>
    <t>0.5\% FTT</t>
  </si>
  <si>
    <t>Wealth tax</t>
  </si>
  <si>
    <t>table_s</t>
  </si>
  <si>
    <t>table_scenario</t>
  </si>
  <si>
    <t>6 NOR scenario</t>
  </si>
  <si>
    <t>Status-quo scenario</t>
  </si>
  <si>
    <t>table_sscenario</t>
  </si>
  <si>
    <t xml:space="preserve">tax base </t>
  </si>
  <si>
    <t xml:space="preserve">share of </t>
  </si>
  <si>
    <t>passenger flow preserving reform</t>
  </si>
  <si>
    <t>Austria</t>
  </si>
  <si>
    <t xml:space="preserve">Austria        </t>
  </si>
  <si>
    <t xml:space="preserve">Austria     </t>
  </si>
  <si>
    <t xml:space="preserve">  3,73 \\</t>
  </si>
  <si>
    <t xml:space="preserve">Austria              </t>
  </si>
  <si>
    <t xml:space="preserve"> 124$^{a}$       </t>
  </si>
  <si>
    <t xml:space="preserve"> 0.57 \\</t>
  </si>
  <si>
    <t>Belgium</t>
  </si>
  <si>
    <t xml:space="preserve">Belgium        </t>
  </si>
  <si>
    <t xml:space="preserve">Belgium     </t>
  </si>
  <si>
    <t xml:space="preserve">  3,08 \\</t>
  </si>
  <si>
    <t xml:space="preserve">Belgium              </t>
  </si>
  <si>
    <t xml:space="preserve"> ---       </t>
  </si>
  <si>
    <t xml:space="preserve"> 0.25 \\</t>
  </si>
  <si>
    <t>Bulgaria</t>
  </si>
  <si>
    <t xml:space="preserve">Bulgaria       </t>
  </si>
  <si>
    <t xml:space="preserve">  4,73 \\</t>
  </si>
  <si>
    <t xml:space="preserve">Bulgaria             </t>
  </si>
  <si>
    <t xml:space="preserve"> 0.15 \\</t>
  </si>
  <si>
    <t>Croatia</t>
  </si>
  <si>
    <t xml:space="preserve">Croatia        </t>
  </si>
  <si>
    <t xml:space="preserve">  7,63 \\</t>
  </si>
  <si>
    <t xml:space="preserve">Croatia              </t>
  </si>
  <si>
    <t xml:space="preserve"> 0.28 \\</t>
  </si>
  <si>
    <t>Cyprus</t>
  </si>
  <si>
    <t xml:space="preserve">Cyprus         </t>
  </si>
  <si>
    <t xml:space="preserve"> 16,92 \\</t>
  </si>
  <si>
    <t xml:space="preserve">Cyprus               </t>
  </si>
  <si>
    <t xml:space="preserve"> ---$^{b}$ </t>
  </si>
  <si>
    <t xml:space="preserve">Cyprus$^{a}$   </t>
  </si>
  <si>
    <t xml:space="preserve"> 0.45 \\</t>
  </si>
  <si>
    <t>Czechia</t>
  </si>
  <si>
    <t xml:space="preserve">Czechia        </t>
  </si>
  <si>
    <t xml:space="preserve">Czechia     </t>
  </si>
  <si>
    <t xml:space="preserve">  2,52 \\</t>
  </si>
  <si>
    <t xml:space="preserve">Czech Republic       </t>
  </si>
  <si>
    <t xml:space="preserve">Czech Republic </t>
  </si>
  <si>
    <t xml:space="preserve"> 0.72 \\</t>
  </si>
  <si>
    <t>Denmark</t>
  </si>
  <si>
    <t xml:space="preserve">Denmark        </t>
  </si>
  <si>
    <t xml:space="preserve">Denmark     </t>
  </si>
  <si>
    <t xml:space="preserve">  4,77 \\</t>
  </si>
  <si>
    <t xml:space="preserve">Denmark              </t>
  </si>
  <si>
    <t xml:space="preserve"> 0.53 \\</t>
  </si>
  <si>
    <t>Estonia</t>
  </si>
  <si>
    <t xml:space="preserve">Estonia        </t>
  </si>
  <si>
    <t xml:space="preserve">  4,16 \\</t>
  </si>
  <si>
    <t xml:space="preserve">Estonia              </t>
  </si>
  <si>
    <t xml:space="preserve"> 0.44 \\</t>
  </si>
  <si>
    <t>Finland</t>
  </si>
  <si>
    <t xml:space="preserve">Finland        </t>
  </si>
  <si>
    <t xml:space="preserve">  4,34 \\</t>
  </si>
  <si>
    <t xml:space="preserve">Finland              </t>
  </si>
  <si>
    <t xml:space="preserve"> 0.40 \\</t>
  </si>
  <si>
    <t>France</t>
  </si>
  <si>
    <t xml:space="preserve">France         </t>
  </si>
  <si>
    <t xml:space="preserve">France      </t>
  </si>
  <si>
    <t xml:space="preserve">  3,12 \\</t>
  </si>
  <si>
    <t xml:space="preserve">France               </t>
  </si>
  <si>
    <t xml:space="preserve"> 760$^{c}$ </t>
  </si>
  <si>
    <t xml:space="preserve"> 0.48 \\</t>
  </si>
  <si>
    <t>Germany</t>
  </si>
  <si>
    <t xml:space="preserve">Germany        </t>
  </si>
  <si>
    <t xml:space="preserve">Germany     </t>
  </si>
  <si>
    <t xml:space="preserve">  2,34 \\</t>
  </si>
  <si>
    <t xml:space="preserve">Germany              </t>
  </si>
  <si>
    <t xml:space="preserve"> 1{,}213   </t>
  </si>
  <si>
    <t xml:space="preserve"> 0.54 \\</t>
  </si>
  <si>
    <t>Greece</t>
  </si>
  <si>
    <t xml:space="preserve">Greece         </t>
  </si>
  <si>
    <t xml:space="preserve">Greece      </t>
  </si>
  <si>
    <t xml:space="preserve"> 18,82 \\</t>
  </si>
  <si>
    <t xml:space="preserve">Greece               </t>
  </si>
  <si>
    <t xml:space="preserve"> 0.20 \\</t>
  </si>
  <si>
    <t>Hungary</t>
  </si>
  <si>
    <t xml:space="preserve">Hungary        </t>
  </si>
  <si>
    <t xml:space="preserve">  3,04 \\</t>
  </si>
  <si>
    <t xml:space="preserve">Hungary              </t>
  </si>
  <si>
    <t xml:space="preserve"> 0.50 \\</t>
  </si>
  <si>
    <t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</si>
  <si>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</si>
  <si>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</si>
  <si>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</si>
  <si>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</si>
  <si>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Ireland              </t>
  </si>
  <si>
    <t xml:space="preserve"> 0.33 \\</t>
  </si>
  <si>
    <t>Italy</t>
  </si>
  <si>
    <t xml:space="preserve">Italy          </t>
  </si>
  <si>
    <t xml:space="preserve">Italy       </t>
  </si>
  <si>
    <t xml:space="preserve">  5,68 \\</t>
  </si>
  <si>
    <t xml:space="preserve">Italy                </t>
  </si>
  <si>
    <t xml:space="preserve"> 637$^{d}$ </t>
  </si>
  <si>
    <t xml:space="preserve"> 0.36 \\</t>
  </si>
  <si>
    <t>Latvia</t>
  </si>
  <si>
    <t xml:space="preserve">Latvia         </t>
  </si>
  <si>
    <t xml:space="preserve">  7,24 \\</t>
  </si>
  <si>
    <t xml:space="preserve">Latvia               </t>
  </si>
  <si>
    <t>Lithuania</t>
  </si>
  <si>
    <t xml:space="preserve">Lithuania      </t>
  </si>
  <si>
    <t xml:space="preserve">  3,21 \\</t>
  </si>
  <si>
    <t xml:space="preserve">Lithuania            </t>
  </si>
  <si>
    <t xml:space="preserve"> 0.26 \\</t>
  </si>
  <si>
    <t>Luxembourg</t>
  </si>
  <si>
    <t xml:space="preserve">Luxembourg     </t>
  </si>
  <si>
    <t xml:space="preserve">  6,42 \\</t>
  </si>
  <si>
    <t xml:space="preserve">Luxembourg           </t>
  </si>
  <si>
    <t xml:space="preserve">Luxembourg$^{a}$ </t>
  </si>
  <si>
    <t xml:space="preserve"> 0.43 \\</t>
  </si>
  <si>
    <t>Malta</t>
  </si>
  <si>
    <t xml:space="preserve">Malta          </t>
  </si>
  <si>
    <t xml:space="preserve"> 24,29 \\</t>
  </si>
  <si>
    <t xml:space="preserve">Malta                </t>
  </si>
  <si>
    <t xml:space="preserve">Malta$^{a}$    </t>
  </si>
  <si>
    <t xml:space="preserve"> 0.46 \\</t>
  </si>
  <si>
    <t>Netherlands</t>
  </si>
  <si>
    <t xml:space="preserve">Netherlands    </t>
  </si>
  <si>
    <t xml:space="preserve">Netherlands </t>
  </si>
  <si>
    <t xml:space="preserve">  3,17 \\</t>
  </si>
  <si>
    <t xml:space="preserve">Netherlands          </t>
  </si>
  <si>
    <t>Poland</t>
  </si>
  <si>
    <t xml:space="preserve">Poland         </t>
  </si>
  <si>
    <t xml:space="preserve">Poland      </t>
  </si>
  <si>
    <t xml:space="preserve">  2,43 \\</t>
  </si>
  <si>
    <t xml:space="preserve">Poland               </t>
  </si>
  <si>
    <t xml:space="preserve"> 0.49 \\</t>
  </si>
  <si>
    <t>Portugal</t>
  </si>
  <si>
    <t xml:space="preserve">Portugal       </t>
  </si>
  <si>
    <t xml:space="preserve">Portugal    </t>
  </si>
  <si>
    <t xml:space="preserve"> 12,14 \\</t>
  </si>
  <si>
    <t xml:space="preserve">Portugal             </t>
  </si>
  <si>
    <t>Romania</t>
  </si>
  <si>
    <t xml:space="preserve">Romania        </t>
  </si>
  <si>
    <t xml:space="preserve">  2,95 \\</t>
  </si>
  <si>
    <t xml:space="preserve">Romania              </t>
  </si>
  <si>
    <t xml:space="preserve"> 0.08 \\</t>
  </si>
  <si>
    <t>Slovakia</t>
  </si>
  <si>
    <t xml:space="preserve">Slovakia       </t>
  </si>
  <si>
    <t xml:space="preserve">  0,61 \\</t>
  </si>
  <si>
    <t xml:space="preserve">Slovakia             </t>
  </si>
  <si>
    <t>Slovenia</t>
  </si>
  <si>
    <t xml:space="preserve">Slovenia       </t>
  </si>
  <si>
    <t xml:space="preserve">  0,69 \\</t>
  </si>
  <si>
    <t xml:space="preserve">Slovenia             </t>
  </si>
  <si>
    <t xml:space="preserve"> 0.17 \\</t>
  </si>
  <si>
    <t>Spain</t>
  </si>
  <si>
    <t xml:space="preserve">Spain          </t>
  </si>
  <si>
    <t xml:space="preserve">Spain       </t>
  </si>
  <si>
    <t xml:space="preserve"> 10,37 \\</t>
  </si>
  <si>
    <t xml:space="preserve">Spain                </t>
  </si>
  <si>
    <t xml:space="preserve"> 373$^{c}$ </t>
  </si>
  <si>
    <t>Sweden</t>
  </si>
  <si>
    <t xml:space="preserve">Sweden         </t>
  </si>
  <si>
    <t xml:space="preserve">Sweden      </t>
  </si>
  <si>
    <t xml:space="preserve">  3,47 \\</t>
  </si>
  <si>
    <t xml:space="preserve">Sweden               </t>
  </si>
  <si>
    <t xml:space="preserve"> 0.83 \\</t>
  </si>
  <si>
    <t>European Union</t>
  </si>
  <si>
    <t>TOTAL</t>
  </si>
  <si>
    <t>Taux effectif (inclus elasticité)</t>
  </si>
  <si>
    <t>Taux effectif</t>
  </si>
  <si>
    <t xml:space="preserve">Autriche </t>
  </si>
  <si>
    <t>124 M en 2024 a 5 % pub</t>
  </si>
  <si>
    <t xml:space="preserve">Budget 2026 </t>
  </si>
  <si>
    <t>8 % de croissance du secteur</t>
  </si>
  <si>
    <t>share GNI</t>
  </si>
  <si>
    <t>Reward fund</t>
  </si>
  <si>
    <t>NOR</t>
  </si>
  <si>
    <t>GNI contrib reduction</t>
  </si>
  <si>
    <t>Ajout budg</t>
  </si>
  <si>
    <t xml:space="preserve">Remboursement </t>
  </si>
  <si>
    <t>New budg</t>
  </si>
  <si>
    <t>new GNIcontrib ratio</t>
  </si>
  <si>
    <t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</si>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</sst>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mbria"/>
      <charset val="1"/>
    </font>
    <font>
      <b/>
      <sz val="11"/>
      <color theme="1"/>
      <name val="Calibri"/>
      <family val="2"/>
      <charset val="1"/>
    </font>
    <font>
      <sz val="11"/>
      <color theme="1"/>
      <name val="Cambria"/>
      <charset val="1"/>
    </font>
    <font>
      <sz val="15"/>
      <color theme="1"/>
      <name val="Calibri"/>
      <family val="2"/>
      <charset val="1"/>
    </font>
    <font>
      <sz val="18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650953"/>
        <bgColor rgb="FF88133D"/>
      </patternFill>
    </fill>
    <fill>
      <patternFill patternType="solid">
        <fgColor rgb="FFCF4069"/>
        <bgColor rgb="FFBB5928"/>
      </patternFill>
    </fill>
    <fill>
      <patternFill patternType="solid">
        <fgColor rgb="FFDF979A"/>
        <bgColor rgb="FFFFAB91"/>
      </patternFill>
    </fill>
    <fill>
      <patternFill patternType="solid">
        <fgColor rgb="FF88133D"/>
        <bgColor rgb="FF7E0021"/>
      </patternFill>
    </fill>
    <fill>
      <patternFill patternType="solid">
        <fgColor rgb="FF5983B0"/>
        <bgColor rgb="FF339966"/>
      </patternFill>
    </fill>
    <fill>
      <patternFill patternType="solid">
        <fgColor rgb="FF7BB2DD"/>
        <bgColor rgb="FF83CAFF"/>
      </patternFill>
    </fill>
    <fill>
      <patternFill patternType="solid">
        <fgColor rgb="FFFFBF00"/>
        <bgColor rgb="FFFFD320"/>
      </patternFill>
    </fill>
    <fill>
      <patternFill patternType="solid">
        <fgColor rgb="FFBB5928"/>
        <bgColor rgb="FFCF4069"/>
      </patternFill>
    </fill>
    <fill>
      <patternFill patternType="solid">
        <fgColor rgb="FFF2F7FF"/>
        <bgColor rgb="FFFFFFCC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5" fillId="14" borderId="0" xfId="0" applyFont="1" applyFill="1" applyBorder="1" applyAlignment="1" applyProtection="1">
      <alignment horizontal="center" vertical="center"/>
    </xf>
    <xf numFmtId="0" fontId="4" fillId="14" borderId="0" xfId="0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 vertical="center" wrapText="1"/>
    </xf>
    <xf numFmtId="0" fontId="0" fillId="0" borderId="0" xfId="0" applyAlignment="1" applyProtection="1"/>
    <xf numFmtId="4" fontId="0" fillId="0" borderId="0" xfId="0" applyNumberFormat="1" applyAlignment="1" applyProtection="1"/>
    <xf numFmtId="0" fontId="1" fillId="3" borderId="0" xfId="0" applyFont="1" applyFill="1" applyAlignment="1" applyProtection="1">
      <alignment horizontal="center" vertical="center" wrapText="1"/>
    </xf>
    <xf numFmtId="0" fontId="1" fillId="4" borderId="0" xfId="0" applyFont="1" applyFill="1" applyAlignment="1" applyProtection="1">
      <alignment horizontal="center" vertical="center" wrapText="1"/>
    </xf>
    <xf numFmtId="0" fontId="1" fillId="4" borderId="0" xfId="0" applyFont="1" applyFill="1" applyBorder="1" applyAlignment="1" applyProtection="1">
      <alignment horizontal="center" vertical="center" wrapText="1"/>
    </xf>
    <xf numFmtId="0" fontId="2" fillId="3" borderId="0" xfId="0" applyFont="1" applyFill="1" applyAlignment="1" applyProtection="1"/>
    <xf numFmtId="0" fontId="2" fillId="4" borderId="0" xfId="0" applyFont="1" applyFill="1" applyAlignment="1" applyProtection="1"/>
    <xf numFmtId="4" fontId="2" fillId="4" borderId="0" xfId="0" applyNumberFormat="1" applyFont="1" applyFill="1" applyAlignment="1" applyProtection="1"/>
    <xf numFmtId="0" fontId="2" fillId="5" borderId="0" xfId="0" applyFont="1" applyFill="1" applyAlignment="1" applyProtection="1"/>
    <xf numFmtId="0" fontId="2" fillId="2" borderId="0" xfId="0" applyFont="1" applyFill="1" applyAlignment="1" applyProtection="1"/>
    <xf numFmtId="0" fontId="1" fillId="6" borderId="0" xfId="0" applyFont="1" applyFill="1" applyAlignment="1" applyProtection="1">
      <alignment horizontal="center" vertical="center" wrapText="1"/>
    </xf>
    <xf numFmtId="0" fontId="2" fillId="6" borderId="0" xfId="0" applyFont="1" applyFill="1" applyAlignment="1" applyProtection="1"/>
    <xf numFmtId="0" fontId="2" fillId="7" borderId="0" xfId="0" applyFont="1" applyFill="1" applyAlignment="1" applyProtection="1"/>
    <xf numFmtId="0" fontId="0" fillId="6" borderId="0" xfId="0" applyFill="1" applyAlignment="1" applyProtection="1"/>
    <xf numFmtId="0" fontId="1" fillId="8" borderId="0" xfId="0" applyFont="1" applyFill="1" applyAlignment="1" applyProtection="1">
      <alignment horizontal="left" vertical="center"/>
    </xf>
    <xf numFmtId="0" fontId="0" fillId="8" borderId="0" xfId="0" applyFont="1" applyFill="1" applyAlignment="1" applyProtection="1"/>
    <xf numFmtId="4" fontId="0" fillId="8" borderId="0" xfId="0" applyNumberFormat="1" applyFont="1" applyFill="1" applyAlignment="1" applyProtection="1"/>
    <xf numFmtId="0" fontId="0" fillId="8" borderId="0" xfId="0" applyFill="1" applyAlignment="1" applyProtection="1"/>
    <xf numFmtId="0" fontId="0" fillId="9" borderId="0" xfId="0" applyFill="1" applyAlignment="1" applyProtection="1"/>
    <xf numFmtId="0" fontId="3" fillId="0" borderId="0" xfId="0" applyFont="1" applyBorder="1" applyAlignment="1" applyProtection="1">
      <alignment horizontal="left" vertical="center"/>
    </xf>
    <xf numFmtId="0" fontId="0" fillId="0" borderId="0" xfId="0" applyBorder="1" applyAlignment="1" applyProtection="1"/>
    <xf numFmtId="4" fontId="3" fillId="0" borderId="0" xfId="0" applyNumberFormat="1" applyFont="1" applyBorder="1" applyAlignment="1" applyProtection="1">
      <alignment horizontal="right" vertical="center"/>
    </xf>
    <xf numFmtId="0" fontId="3" fillId="0" borderId="0" xfId="0" applyFont="1" applyBorder="1" applyAlignment="1" applyProtection="1">
      <alignment horizontal="right" vertical="center"/>
    </xf>
    <xf numFmtId="4" fontId="0" fillId="0" borderId="0" xfId="0" applyNumberFormat="1" applyBorder="1" applyAlignment="1" applyProtection="1"/>
    <xf numFmtId="0" fontId="0" fillId="0" borderId="0" xfId="0" applyFont="1" applyBorder="1" applyAlignment="1" applyProtection="1"/>
    <xf numFmtId="0" fontId="3" fillId="10" borderId="0" xfId="0" applyFont="1" applyFill="1" applyBorder="1" applyAlignment="1" applyProtection="1">
      <alignment horizontal="left" vertical="center"/>
    </xf>
    <xf numFmtId="0" fontId="3" fillId="10" borderId="0" xfId="0" applyFont="1" applyFill="1" applyBorder="1" applyAlignment="1" applyProtection="1">
      <alignment horizontal="right" vertical="center"/>
    </xf>
    <xf numFmtId="164" fontId="0" fillId="0" borderId="0" xfId="0" applyNumberFormat="1" applyBorder="1" applyAlignment="1" applyProtection="1"/>
    <xf numFmtId="11" fontId="0" fillId="0" borderId="0" xfId="0" applyNumberFormat="1" applyBorder="1" applyAlignment="1" applyProtection="1"/>
    <xf numFmtId="0" fontId="1" fillId="11" borderId="0" xfId="0" applyFont="1" applyFill="1" applyBorder="1" applyAlignment="1" applyProtection="1">
      <alignment horizontal="left" vertical="center"/>
    </xf>
    <xf numFmtId="0" fontId="1" fillId="11" borderId="0" xfId="0" applyFont="1" applyFill="1" applyBorder="1" applyAlignment="1" applyProtection="1">
      <alignment horizontal="right" vertical="center"/>
    </xf>
    <xf numFmtId="4" fontId="1" fillId="11" borderId="0" xfId="0" applyNumberFormat="1" applyFont="1" applyFill="1" applyBorder="1" applyAlignment="1" applyProtection="1">
      <alignment horizontal="right" vertical="center"/>
    </xf>
    <xf numFmtId="0" fontId="1" fillId="12" borderId="0" xfId="0" applyFont="1" applyFill="1" applyBorder="1" applyAlignment="1" applyProtection="1">
      <alignment horizontal="right" vertical="center"/>
    </xf>
    <xf numFmtId="4" fontId="0" fillId="11" borderId="0" xfId="0" applyNumberFormat="1" applyFill="1" applyBorder="1" applyAlignment="1" applyProtection="1"/>
    <xf numFmtId="0" fontId="0" fillId="11" borderId="0" xfId="0" applyFill="1" applyBorder="1" applyAlignment="1" applyProtection="1"/>
    <xf numFmtId="0" fontId="0" fillId="13" borderId="0" xfId="0" applyFill="1" applyAlignment="1" applyProtection="1"/>
    <xf numFmtId="4" fontId="0" fillId="13" borderId="0" xfId="0" applyNumberFormat="1" applyFill="1" applyAlignment="1" applyProtection="1"/>
    <xf numFmtId="0" fontId="0" fillId="0" borderId="0" xfId="0" applyFont="1" applyAlignment="1" applyProtection="1"/>
    <xf numFmtId="4" fontId="0" fillId="0" borderId="0" xfId="0" applyNumberFormat="1" applyFont="1" applyAlignment="1" applyProtection="1"/>
    <xf numFmtId="0" fontId="0" fillId="15" borderId="0" xfId="0" applyFont="1" applyFill="1" applyAlignment="1" applyProtection="1"/>
    <xf numFmtId="0" fontId="2" fillId="15" borderId="0" xfId="0" applyFont="1" applyFill="1" applyAlignment="1" applyProtection="1">
      <alignment wrapText="1"/>
    </xf>
    <xf numFmtId="0" fontId="0" fillId="16" borderId="0" xfId="0" applyFont="1" applyFill="1" applyAlignment="1" applyProtection="1"/>
    <xf numFmtId="0" fontId="0" fillId="17" borderId="0" xfId="0" applyFont="1" applyFill="1" applyAlignment="1" applyProtection="1"/>
    <xf numFmtId="4" fontId="0" fillId="16" borderId="0" xfId="0" applyNumberFormat="1" applyFont="1" applyFill="1" applyAlignment="1" applyProtection="1"/>
    <xf numFmtId="0" fontId="1" fillId="0" borderId="0" xfId="0" applyFont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7FF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4C7DC"/>
      <rgbColor rgb="FFD17486"/>
      <rgbColor rgb="FF7BB2DD"/>
      <rgbColor rgb="FFCF4069"/>
      <rgbColor rgb="FFFFFFCC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8133D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BB5928"/>
      <rgbColor rgb="FF993366"/>
      <rgbColor rgb="FF1A237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20700394490968"/>
          <c:y val="3.0434782608695699E-2"/>
          <c:w val="0.69310448243246403"/>
          <c:h val="0.7765791632485640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3.5051253266139511E-2</c:v>
                </c:pt>
                <c:pt idx="1">
                  <c:v>3.9648098469307246E-2</c:v>
                </c:pt>
                <c:pt idx="2">
                  <c:v>7.2600829177891138E-2</c:v>
                </c:pt>
                <c:pt idx="3">
                  <c:v>7.8675514811520825E-2</c:v>
                </c:pt>
                <c:pt idx="4">
                  <c:v>7.2760345611641658E-2</c:v>
                </c:pt>
                <c:pt idx="5">
                  <c:v>7.8216660148611644E-2</c:v>
                </c:pt>
                <c:pt idx="6">
                  <c:v>3.1001877335905342E-2</c:v>
                </c:pt>
                <c:pt idx="7">
                  <c:v>7.443606589210007E-2</c:v>
                </c:pt>
                <c:pt idx="8">
                  <c:v>3.7978598863774291E-2</c:v>
                </c:pt>
                <c:pt idx="9">
                  <c:v>4.2102254101862593E-2</c:v>
                </c:pt>
                <c:pt idx="10">
                  <c:v>2.6223368399714918E-2</c:v>
                </c:pt>
                <c:pt idx="11">
                  <c:v>5.0309319386779149E-2</c:v>
                </c:pt>
                <c:pt idx="12">
                  <c:v>9.4007681770567536E-2</c:v>
                </c:pt>
                <c:pt idx="13">
                  <c:v>2.9986305223490717E-2</c:v>
                </c:pt>
                <c:pt idx="14">
                  <c:v>2.5744495529167903E-2</c:v>
                </c:pt>
                <c:pt idx="15">
                  <c:v>8.1632653061224483E-2</c:v>
                </c:pt>
                <c:pt idx="16">
                  <c:v>7.5903436018957354E-2</c:v>
                </c:pt>
                <c:pt idx="17">
                  <c:v>1.9813750743015654E-2</c:v>
                </c:pt>
                <c:pt idx="18">
                  <c:v>5.1053898329808181E-2</c:v>
                </c:pt>
                <c:pt idx="19">
                  <c:v>3.9777532502902682E-2</c:v>
                </c:pt>
                <c:pt idx="20">
                  <c:v>9.0708162457041386E-2</c:v>
                </c:pt>
                <c:pt idx="21">
                  <c:v>6.4660766961651919E-2</c:v>
                </c:pt>
                <c:pt idx="22">
                  <c:v>6.2699710188006241E-2</c:v>
                </c:pt>
                <c:pt idx="23">
                  <c:v>7.8110546979382925E-2</c:v>
                </c:pt>
                <c:pt idx="24">
                  <c:v>6.4113772804103283E-2</c:v>
                </c:pt>
                <c:pt idx="25">
                  <c:v>5.6628268798813032E-2</c:v>
                </c:pt>
                <c:pt idx="26">
                  <c:v>3.4376820614512811E-2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82-422C-86E1-052451574199}"/>
            </c:ext>
          </c:extLst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#,##0.00</c:formatCode>
                <c:ptCount val="27"/>
                <c:pt idx="0">
                  <c:v>8.0887507537245024E-2</c:v>
                </c:pt>
                <c:pt idx="1">
                  <c:v>3.6294776708221559E-2</c:v>
                </c:pt>
                <c:pt idx="2">
                  <c:v>3.4389866452685276E-2</c:v>
                </c:pt>
                <c:pt idx="3">
                  <c:v>4.4468769241294379E-2</c:v>
                </c:pt>
                <c:pt idx="4">
                  <c:v>7.7307867212369263E-2</c:v>
                </c:pt>
                <c:pt idx="5">
                  <c:v>0.11556731246676891</c:v>
                </c:pt>
                <c:pt idx="6">
                  <c:v>7.4060040302440538E-2</c:v>
                </c:pt>
                <c:pt idx="7">
                  <c:v>6.7963364510178328E-2</c:v>
                </c:pt>
                <c:pt idx="8">
                  <c:v>5.2073748957546184E-2</c:v>
                </c:pt>
                <c:pt idx="9">
                  <c:v>6.5677962810193405E-2</c:v>
                </c:pt>
                <c:pt idx="10">
                  <c:v>7.2395802330501316E-2</c:v>
                </c:pt>
                <c:pt idx="11">
                  <c:v>2.9853881833912903E-2</c:v>
                </c:pt>
                <c:pt idx="12">
                  <c:v>7.5877628857672366E-2</c:v>
                </c:pt>
                <c:pt idx="13">
                  <c:v>4.9461946760397058E-2</c:v>
                </c:pt>
                <c:pt idx="14">
                  <c:v>4.9118512883273249E-2</c:v>
                </c:pt>
                <c:pt idx="15">
                  <c:v>6.046863189720332E-2</c:v>
                </c:pt>
                <c:pt idx="16">
                  <c:v>4.4431279620853081E-2</c:v>
                </c:pt>
                <c:pt idx="17">
                  <c:v>6.3404002377650093E-2</c:v>
                </c:pt>
                <c:pt idx="18">
                  <c:v>7.293414047115454E-2</c:v>
                </c:pt>
                <c:pt idx="19">
                  <c:v>7.7882736311989637E-2</c:v>
                </c:pt>
                <c:pt idx="20">
                  <c:v>7.7932364927880624E-2</c:v>
                </c:pt>
                <c:pt idx="21">
                  <c:v>3.9646017699115042E-2</c:v>
                </c:pt>
                <c:pt idx="22">
                  <c:v>1.3933268930668052E-2</c:v>
                </c:pt>
                <c:pt idx="23">
                  <c:v>3.8027503134699582E-2</c:v>
                </c:pt>
                <c:pt idx="24">
                  <c:v>2.7199782401740785E-2</c:v>
                </c:pt>
                <c:pt idx="25">
                  <c:v>6.8415521256207895E-2</c:v>
                </c:pt>
                <c:pt idx="26">
                  <c:v>0.10873931152274841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82-422C-86E1-052451574199}"/>
            </c:ext>
          </c:extLst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6.4710006029796013E-3</c:v>
                </c:pt>
                <c:pt idx="1">
                  <c:v>1.2052232917784442E-2</c:v>
                </c:pt>
                <c:pt idx="2">
                  <c:v>3.8210962725205861E-4</c:v>
                </c:pt>
                <c:pt idx="3">
                  <c:v>5.1310118355339673E-4</c:v>
                </c:pt>
                <c:pt idx="4">
                  <c:v>3.6380172805820831E-3</c:v>
                </c:pt>
                <c:pt idx="5">
                  <c:v>1.6697938683411476E-3</c:v>
                </c:pt>
                <c:pt idx="6">
                  <c:v>3.2666792970611369E-2</c:v>
                </c:pt>
                <c:pt idx="7">
                  <c:v>3.2363506909608726E-4</c:v>
                </c:pt>
                <c:pt idx="8">
                  <c:v>3.1831547295101542E-2</c:v>
                </c:pt>
                <c:pt idx="9">
                  <c:v>0.12040312519905354</c:v>
                </c:pt>
                <c:pt idx="10">
                  <c:v>4.2772512547265072E-2</c:v>
                </c:pt>
                <c:pt idx="11">
                  <c:v>1.2549687363515239E-2</c:v>
                </c:pt>
                <c:pt idx="12">
                  <c:v>3.9617523031882035E-3</c:v>
                </c:pt>
                <c:pt idx="13">
                  <c:v>7.4625712174749059E-2</c:v>
                </c:pt>
                <c:pt idx="14">
                  <c:v>3.0016868984222539E-2</c:v>
                </c:pt>
                <c:pt idx="15">
                  <c:v>0</c:v>
                </c:pt>
                <c:pt idx="16">
                  <c:v>1.8513033175355452E-4</c:v>
                </c:pt>
                <c:pt idx="17">
                  <c:v>0</c:v>
                </c:pt>
                <c:pt idx="18">
                  <c:v>0</c:v>
                </c:pt>
                <c:pt idx="19">
                  <c:v>0.23424546918376027</c:v>
                </c:pt>
                <c:pt idx="20">
                  <c:v>1.1498217776244683E-2</c:v>
                </c:pt>
                <c:pt idx="21">
                  <c:v>1.1752212389380529E-2</c:v>
                </c:pt>
                <c:pt idx="22">
                  <c:v>8.8244036560897676E-4</c:v>
                </c:pt>
                <c:pt idx="23">
                  <c:v>0</c:v>
                </c:pt>
                <c:pt idx="24">
                  <c:v>7.7713664004973684E-4</c:v>
                </c:pt>
                <c:pt idx="25">
                  <c:v>1.9832258330413997E-2</c:v>
                </c:pt>
                <c:pt idx="26">
                  <c:v>4.4346098592721525E-2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82-422C-86E1-052451574199}"/>
            </c:ext>
          </c:extLst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0.225504566467471</c:v>
                </c:pt>
                <c:pt idx="1">
                  <c:v>0.14241754773552157</c:v>
                </c:pt>
                <c:pt idx="2">
                  <c:v>7.6421925450411723E-2</c:v>
                </c:pt>
                <c:pt idx="3">
                  <c:v>6.1572142026407609E-2</c:v>
                </c:pt>
                <c:pt idx="4">
                  <c:v>0.20918599363346976</c:v>
                </c:pt>
                <c:pt idx="5">
                  <c:v>0.15291796478492614</c:v>
                </c:pt>
                <c:pt idx="6">
                  <c:v>0.15300000574108841</c:v>
                </c:pt>
                <c:pt idx="7">
                  <c:v>9.3854170037865309E-2</c:v>
                </c:pt>
                <c:pt idx="8">
                  <c:v>5.9512855951481355E-2</c:v>
                </c:pt>
                <c:pt idx="9">
                  <c:v>0.25906091776699586</c:v>
                </c:pt>
                <c:pt idx="10">
                  <c:v>0.22372984246137148</c:v>
                </c:pt>
                <c:pt idx="11">
                  <c:v>6.523626030373561E-2</c:v>
                </c:pt>
                <c:pt idx="12">
                  <c:v>0.13966855577341461</c:v>
                </c:pt>
                <c:pt idx="13">
                  <c:v>0.10232440236057141</c:v>
                </c:pt>
                <c:pt idx="14">
                  <c:v>0.14432353168171647</c:v>
                </c:pt>
                <c:pt idx="15">
                  <c:v>6.046863189720332E-2</c:v>
                </c:pt>
                <c:pt idx="16">
                  <c:v>5.7390402843601897E-2</c:v>
                </c:pt>
                <c:pt idx="17">
                  <c:v>0.4121260154547256</c:v>
                </c:pt>
                <c:pt idx="18">
                  <c:v>6.5640726424039092E-2</c:v>
                </c:pt>
                <c:pt idx="19">
                  <c:v>0.10905972124669716</c:v>
                </c:pt>
                <c:pt idx="20">
                  <c:v>0.10220638023328607</c:v>
                </c:pt>
                <c:pt idx="21">
                  <c:v>0.15575221238938053</c:v>
                </c:pt>
                <c:pt idx="22">
                  <c:v>5.6197518020361145E-2</c:v>
                </c:pt>
                <c:pt idx="23">
                  <c:v>1.9527636744845731E-2</c:v>
                </c:pt>
                <c:pt idx="24">
                  <c:v>0.14571312000932565</c:v>
                </c:pt>
                <c:pt idx="25">
                  <c:v>0.17730335689410021</c:v>
                </c:pt>
                <c:pt idx="26">
                  <c:v>0.12882261198701644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82-422C-86E1-052451574199}"/>
            </c:ext>
          </c:extLst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4.5419561050459099E-2</c:v>
                </c:pt>
                <c:pt idx="1">
                  <c:v>3.6886539371942563E-2</c:v>
                </c:pt>
                <c:pt idx="2">
                  <c:v>8.7694159454347442E-2</c:v>
                </c:pt>
                <c:pt idx="3">
                  <c:v>0.1104877881918314</c:v>
                </c:pt>
                <c:pt idx="4">
                  <c:v>0.22419281491587087</c:v>
                </c:pt>
                <c:pt idx="5">
                  <c:v>3.2868574039978379E-2</c:v>
                </c:pt>
                <c:pt idx="6">
                  <c:v>5.5143154039142737E-2</c:v>
                </c:pt>
                <c:pt idx="7">
                  <c:v>4.9516165571701347E-2</c:v>
                </c:pt>
                <c:pt idx="8">
                  <c:v>4.7923510318824462E-2</c:v>
                </c:pt>
                <c:pt idx="9">
                  <c:v>3.5522805905501408E-2</c:v>
                </c:pt>
                <c:pt idx="10">
                  <c:v>2.7531855493688424E-2</c:v>
                </c:pt>
                <c:pt idx="11">
                  <c:v>0.23872048473858504</c:v>
                </c:pt>
                <c:pt idx="12">
                  <c:v>4.2236308452633556E-2</c:v>
                </c:pt>
                <c:pt idx="13">
                  <c:v>4.9400119326946559E-2</c:v>
                </c:pt>
                <c:pt idx="14">
                  <c:v>6.6632487679026228E-2</c:v>
                </c:pt>
                <c:pt idx="15">
                  <c:v>9.2517006802721083E-2</c:v>
                </c:pt>
                <c:pt idx="16">
                  <c:v>4.4061018957345974E-2</c:v>
                </c:pt>
                <c:pt idx="17">
                  <c:v>7.0735090152565877E-2</c:v>
                </c:pt>
                <c:pt idx="18">
                  <c:v>0.33476770476259932</c:v>
                </c:pt>
                <c:pt idx="19">
                  <c:v>4.020755988131245E-2</c:v>
                </c:pt>
                <c:pt idx="20">
                  <c:v>3.6922054859274592E-2</c:v>
                </c:pt>
                <c:pt idx="21">
                  <c:v>0.15646017699115045</c:v>
                </c:pt>
                <c:pt idx="22">
                  <c:v>4.8952218176413764E-2</c:v>
                </c:pt>
                <c:pt idx="23">
                  <c:v>8.7360480174309852E-3</c:v>
                </c:pt>
                <c:pt idx="24">
                  <c:v>9.9084921606341428E-3</c:v>
                </c:pt>
                <c:pt idx="25">
                  <c:v>0.13073958827044738</c:v>
                </c:pt>
                <c:pt idx="26">
                  <c:v>3.5679521185168026E-2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82-422C-86E1-052451574199}"/>
            </c:ext>
          </c:extLst>
        </c:ser>
        <c:ser>
          <c:idx val="5"/>
          <c:order val="5"/>
          <c:tx>
            <c:strRef>
              <c:f>Combined_2!$N$1:$N$1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0.33002103075195971</c:v>
                </c:pt>
                <c:pt idx="1">
                  <c:v>0.2629004260691179</c:v>
                </c:pt>
                <c:pt idx="2">
                  <c:v>0.41573527445023978</c:v>
                </c:pt>
                <c:pt idx="3">
                  <c:v>0.53499350071834173</c:v>
                </c:pt>
                <c:pt idx="4">
                  <c:v>0.92769440654843116</c:v>
                </c:pt>
                <c:pt idx="5">
                  <c:v>0.27490080106163733</c:v>
                </c:pt>
                <c:pt idx="6">
                  <c:v>0.16396548457656607</c:v>
                </c:pt>
                <c:pt idx="7">
                  <c:v>0.22007184698533933</c:v>
                </c:pt>
                <c:pt idx="8">
                  <c:v>0.15442019991621214</c:v>
                </c:pt>
                <c:pt idx="9">
                  <c:v>0.32749650054142565</c:v>
                </c:pt>
                <c:pt idx="10">
                  <c:v>0.21040901483255925</c:v>
                </c:pt>
                <c:pt idx="11">
                  <c:v>0.47368159176475133</c:v>
                </c:pt>
                <c:pt idx="12">
                  <c:v>0.22830437001423545</c:v>
                </c:pt>
                <c:pt idx="13">
                  <c:v>0.15976208803608247</c:v>
                </c:pt>
                <c:pt idx="14">
                  <c:v>0.4235989371437392</c:v>
                </c:pt>
                <c:pt idx="15">
                  <c:v>0.20559334845049132</c:v>
                </c:pt>
                <c:pt idx="16">
                  <c:v>0.2014218009478673</c:v>
                </c:pt>
                <c:pt idx="17">
                  <c:v>0.48504061818902322</c:v>
                </c:pt>
                <c:pt idx="18">
                  <c:v>0.89271387936693158</c:v>
                </c:pt>
                <c:pt idx="19">
                  <c:v>0.17870026613916642</c:v>
                </c:pt>
                <c:pt idx="20">
                  <c:v>0.19857239588181294</c:v>
                </c:pt>
                <c:pt idx="21">
                  <c:v>0.41080825958702061</c:v>
                </c:pt>
                <c:pt idx="22">
                  <c:v>0.20212528795422452</c:v>
                </c:pt>
                <c:pt idx="23">
                  <c:v>0.18170979876256449</c:v>
                </c:pt>
                <c:pt idx="24">
                  <c:v>0.29064910337860156</c:v>
                </c:pt>
                <c:pt idx="25">
                  <c:v>0.34639685123745545</c:v>
                </c:pt>
                <c:pt idx="26">
                  <c:v>0.17470662097565037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82-422C-86E1-052451574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4257055"/>
        <c:axId val="82875935"/>
      </c:barChart>
      <c:catAx>
        <c:axId val="4257055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en-US"/>
          </a:p>
        </c:txPr>
        <c:crossAx val="82875935"/>
        <c:crosses val="autoZero"/>
        <c:auto val="1"/>
        <c:lblAlgn val="ctr"/>
        <c:lblOffset val="100"/>
        <c:noMultiLvlLbl val="0"/>
      </c:catAx>
      <c:valAx>
        <c:axId val="8287593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en-US"/>
          </a:p>
        </c:txPr>
        <c:crossAx val="425705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344880</xdr:colOff>
      <xdr:row>41</xdr:row>
      <xdr:rowOff>4320</xdr:rowOff>
    </xdr:from>
    <xdr:to>
      <xdr:col>14</xdr:col>
      <xdr:colOff>352080</xdr:colOff>
      <xdr:row>90</xdr:row>
      <xdr:rowOff>86400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55"/>
  <sheetViews>
    <sheetView tabSelected="1" zoomScale="85" zoomScaleNormal="85" workbookViewId="0">
      <pane xSplit="1" ySplit="4" topLeftCell="AJ5" activePane="bottomRight" state="frozen"/>
      <selection pane="topRight" activeCell="B1" sqref="B1"/>
      <selection pane="bottomLeft" activeCell="A12" sqref="A12"/>
      <selection pane="bottomRight" activeCell="BE15" sqref="BE15"/>
    </sheetView>
  </sheetViews>
  <sheetFormatPr baseColWidth="10" defaultColWidth="8.5703125" defaultRowHeight="15" x14ac:dyDescent="0.25"/>
  <cols>
    <col min="1" max="1" width="22" style="4" customWidth="1"/>
    <col min="2" max="2" width="14.5703125" style="4" customWidth="1"/>
    <col min="3" max="3" width="11.85546875" style="4" customWidth="1"/>
    <col min="4" max="4" width="14.140625" style="4" customWidth="1"/>
    <col min="5" max="5" width="12.85546875" style="4" customWidth="1"/>
    <col min="6" max="6" width="11.42578125" style="4" customWidth="1"/>
    <col min="7" max="7" width="14.28515625" style="4" customWidth="1"/>
    <col min="8" max="8" width="14.5703125" style="4" customWidth="1"/>
    <col min="9" max="9" width="15" style="4" customWidth="1"/>
    <col min="10" max="10" width="14" style="4" customWidth="1"/>
    <col min="11" max="11" width="12" style="5" customWidth="1"/>
    <col min="12" max="12" width="14.28515625" style="4" customWidth="1"/>
    <col min="13" max="13" width="10.140625" style="4" customWidth="1"/>
    <col min="14" max="14" width="13.7109375" style="5" customWidth="1"/>
    <col min="15" max="15" width="11.28515625" style="4" customWidth="1"/>
    <col min="16" max="16" width="18.85546875" style="4" customWidth="1"/>
    <col min="18" max="18" width="14.42578125" style="4" customWidth="1"/>
    <col min="19" max="19" width="17.140625" style="4" customWidth="1"/>
    <col min="20" max="21" width="14.5703125" style="4" customWidth="1"/>
    <col min="22" max="22" width="14.7109375" style="4" customWidth="1"/>
    <col min="23" max="23" width="11.7109375" style="4" customWidth="1"/>
    <col min="34" max="34" width="11.85546875" style="4" customWidth="1"/>
    <col min="64" max="64" width="12.28515625" style="4" customWidth="1"/>
    <col min="16342" max="16384" width="10.140625" style="4" customWidth="1"/>
  </cols>
  <sheetData>
    <row r="1" spans="1:65 16342:16384" s="13" customFormat="1" ht="19.5" customHeight="1" x14ac:dyDescent="0.25">
      <c r="A1" s="3" t="s">
        <v>0</v>
      </c>
      <c r="B1" s="6"/>
      <c r="C1" s="6" t="s">
        <v>1</v>
      </c>
      <c r="D1" s="7"/>
      <c r="E1" s="7" t="s">
        <v>2</v>
      </c>
      <c r="F1" s="6"/>
      <c r="G1" s="6" t="s">
        <v>3</v>
      </c>
      <c r="H1" s="8"/>
      <c r="I1" s="8" t="s">
        <v>4</v>
      </c>
      <c r="J1" s="9" t="s">
        <v>5</v>
      </c>
      <c r="K1" s="9" t="s">
        <v>5</v>
      </c>
      <c r="L1" s="9"/>
      <c r="M1" s="10"/>
      <c r="N1" s="11" t="s">
        <v>6</v>
      </c>
      <c r="O1" s="10"/>
      <c r="P1" s="9" t="s">
        <v>7</v>
      </c>
      <c r="Q1" s="9"/>
      <c r="R1" s="12"/>
      <c r="S1" s="12"/>
      <c r="T1" s="12"/>
      <c r="AB1" s="13" t="s">
        <v>8</v>
      </c>
      <c r="AC1" s="13" t="s">
        <v>9</v>
      </c>
      <c r="XEX1" s="4"/>
      <c r="XEY1" s="4"/>
      <c r="XEZ1" s="4"/>
      <c r="XFA1" s="4"/>
      <c r="XFB1" s="4"/>
      <c r="XFC1" s="4"/>
      <c r="XFD1" s="4"/>
    </row>
    <row r="2" spans="1:65 16342:16384" s="15" customFormat="1" ht="30" customHeight="1" x14ac:dyDescent="0.25">
      <c r="A2" s="3"/>
      <c r="B2" s="14" t="s">
        <v>10</v>
      </c>
      <c r="C2" s="14" t="s">
        <v>10</v>
      </c>
      <c r="D2" s="14" t="s">
        <v>10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14" t="s">
        <v>10</v>
      </c>
      <c r="K2" s="14" t="s">
        <v>10</v>
      </c>
      <c r="L2" s="15" t="s">
        <v>11</v>
      </c>
      <c r="M2" s="14" t="s">
        <v>10</v>
      </c>
      <c r="N2" s="14" t="s">
        <v>10</v>
      </c>
      <c r="O2" s="15" t="s">
        <v>11</v>
      </c>
      <c r="Q2" s="15" t="s">
        <v>12</v>
      </c>
      <c r="R2" s="16"/>
      <c r="S2" s="16"/>
      <c r="T2" s="16" t="s">
        <v>13</v>
      </c>
      <c r="U2" s="15" t="s">
        <v>14</v>
      </c>
      <c r="Y2" s="15" t="s">
        <v>15</v>
      </c>
      <c r="AB2" s="15" t="s">
        <v>16</v>
      </c>
      <c r="AC2" s="15" t="s">
        <v>17</v>
      </c>
      <c r="XEX2" s="4"/>
      <c r="XEY2" s="4"/>
      <c r="XEZ2" s="4"/>
      <c r="XFA2" s="4"/>
      <c r="XFB2" s="4"/>
      <c r="XFC2" s="4"/>
      <c r="XFD2" s="4"/>
    </row>
    <row r="3" spans="1:65 16342:16384" s="15" customFormat="1" ht="19.5" customHeight="1" x14ac:dyDescent="0.25">
      <c r="A3" s="3"/>
      <c r="B3" s="14" t="s">
        <v>18</v>
      </c>
      <c r="C3" s="14" t="s">
        <v>19</v>
      </c>
      <c r="D3" s="14" t="s">
        <v>18</v>
      </c>
      <c r="E3" s="14" t="s">
        <v>19</v>
      </c>
      <c r="F3" s="14" t="s">
        <v>18</v>
      </c>
      <c r="G3" s="14" t="s">
        <v>19</v>
      </c>
      <c r="H3" s="14" t="s">
        <v>18</v>
      </c>
      <c r="I3" s="14" t="s">
        <v>19</v>
      </c>
      <c r="J3" s="14" t="s">
        <v>18</v>
      </c>
      <c r="K3" s="14" t="s">
        <v>19</v>
      </c>
      <c r="M3" s="14" t="s">
        <v>18</v>
      </c>
      <c r="N3" s="14" t="s">
        <v>19</v>
      </c>
      <c r="Q3" s="15" t="s">
        <v>20</v>
      </c>
      <c r="R3" s="16" t="s">
        <v>21</v>
      </c>
      <c r="S3" s="16"/>
      <c r="T3" s="16"/>
      <c r="U3" s="17"/>
      <c r="V3" s="17"/>
      <c r="W3" s="15" t="s">
        <v>22</v>
      </c>
      <c r="Y3" s="15" t="s">
        <v>23</v>
      </c>
      <c r="AC3" s="15" t="s">
        <v>24</v>
      </c>
      <c r="XEX3" s="4"/>
      <c r="XEY3" s="4"/>
      <c r="XEZ3" s="4"/>
      <c r="XFA3" s="4"/>
      <c r="XFB3" s="4"/>
      <c r="XFC3" s="4"/>
      <c r="XFD3" s="4"/>
    </row>
    <row r="4" spans="1:65 16342:16384" s="21" customFormat="1" ht="18" customHeight="1" x14ac:dyDescent="0.25">
      <c r="A4" s="18" t="s">
        <v>25</v>
      </c>
      <c r="B4" s="19" t="s">
        <v>26</v>
      </c>
      <c r="C4" s="19"/>
      <c r="D4" s="19" t="s">
        <v>27</v>
      </c>
      <c r="E4" s="19"/>
      <c r="F4" s="19" t="s">
        <v>28</v>
      </c>
      <c r="G4" s="19"/>
      <c r="H4" s="19" t="s">
        <v>29</v>
      </c>
      <c r="I4" s="19"/>
      <c r="J4" s="19" t="s">
        <v>5</v>
      </c>
      <c r="K4" s="20"/>
      <c r="L4" s="19"/>
      <c r="M4" s="19" t="s">
        <v>6</v>
      </c>
      <c r="N4" s="20"/>
      <c r="O4" s="19"/>
      <c r="R4" s="22"/>
      <c r="S4" s="22"/>
      <c r="T4" s="22"/>
      <c r="AC4" s="19"/>
      <c r="XDN4" s="19"/>
      <c r="XDO4" s="19"/>
      <c r="XDP4" s="19"/>
      <c r="XDQ4" s="19"/>
      <c r="XDR4" s="19"/>
      <c r="XDS4" s="19"/>
      <c r="XDT4" s="19"/>
      <c r="XDU4" s="19"/>
      <c r="XDV4" s="19"/>
      <c r="XDW4" s="19"/>
      <c r="XDX4" s="19"/>
      <c r="XDY4" s="19"/>
      <c r="XDZ4" s="19"/>
      <c r="XEA4" s="19"/>
      <c r="XEB4" s="19"/>
      <c r="XEC4" s="19"/>
      <c r="XED4" s="19"/>
      <c r="XEE4" s="19"/>
      <c r="XEF4" s="19"/>
      <c r="XEG4" s="19"/>
      <c r="XEH4" s="19"/>
      <c r="XEI4" s="19"/>
      <c r="XEJ4" s="19"/>
      <c r="XEK4" s="19"/>
      <c r="XEL4" s="19"/>
      <c r="XEM4" s="19"/>
      <c r="XEN4" s="19"/>
      <c r="XEO4" s="19"/>
      <c r="XEP4" s="19"/>
      <c r="XEQ4" s="19"/>
      <c r="XER4" s="19"/>
      <c r="XES4" s="19"/>
      <c r="XET4" s="19"/>
      <c r="XEU4" s="19"/>
      <c r="XEV4" s="19"/>
      <c r="XEW4" s="19"/>
      <c r="XEX4" s="4"/>
      <c r="XEY4" s="4"/>
      <c r="XEZ4" s="4"/>
      <c r="XFA4" s="4"/>
      <c r="XFB4" s="4"/>
      <c r="XFC4" s="4"/>
      <c r="XFD4" s="4"/>
    </row>
    <row r="5" spans="1:65 16342:16384" s="21" customFormat="1" ht="18" customHeight="1" x14ac:dyDescent="0.25">
      <c r="A5" s="18" t="s">
        <v>30</v>
      </c>
      <c r="B5" s="19"/>
      <c r="C5" s="19" t="s">
        <v>26</v>
      </c>
      <c r="D5" s="19"/>
      <c r="E5" s="19" t="s">
        <v>27</v>
      </c>
      <c r="F5" s="19"/>
      <c r="G5" s="19" t="s">
        <v>28</v>
      </c>
      <c r="H5" s="19"/>
      <c r="I5" s="19" t="s">
        <v>29</v>
      </c>
      <c r="J5" s="19"/>
      <c r="K5" s="19" t="s">
        <v>5</v>
      </c>
      <c r="L5" s="19"/>
      <c r="M5" s="19"/>
      <c r="N5" s="19" t="s">
        <v>6</v>
      </c>
      <c r="O5" s="19"/>
      <c r="R5" s="22"/>
      <c r="S5" s="22"/>
      <c r="T5" s="22"/>
      <c r="AC5" s="19"/>
      <c r="XDN5" s="19"/>
      <c r="XDO5" s="19"/>
      <c r="XDP5" s="19"/>
      <c r="XDQ5" s="19"/>
      <c r="XDR5" s="19"/>
      <c r="XDS5" s="19"/>
      <c r="XDT5" s="19"/>
      <c r="XDU5" s="19"/>
      <c r="XDV5" s="19"/>
      <c r="XDW5" s="19"/>
      <c r="XDX5" s="19"/>
      <c r="XDY5" s="19"/>
      <c r="XDZ5" s="19"/>
      <c r="XEA5" s="19"/>
      <c r="XEB5" s="19"/>
      <c r="XEC5" s="19"/>
      <c r="XED5" s="19"/>
      <c r="XEE5" s="19"/>
      <c r="XEF5" s="19"/>
      <c r="XEG5" s="19"/>
      <c r="XEH5" s="19"/>
      <c r="XEI5" s="19"/>
      <c r="XEJ5" s="19"/>
      <c r="XEK5" s="19"/>
      <c r="XEL5" s="19"/>
      <c r="XEM5" s="19"/>
      <c r="XEN5" s="19"/>
      <c r="XEO5" s="19"/>
      <c r="XEP5" s="19"/>
      <c r="XEQ5" s="19"/>
      <c r="XER5" s="19"/>
      <c r="XES5" s="19"/>
      <c r="XET5" s="19"/>
      <c r="XEU5" s="19"/>
      <c r="XEV5" s="19"/>
      <c r="XEW5" s="19"/>
      <c r="XEX5" s="4"/>
      <c r="XEY5" s="4"/>
      <c r="XEZ5" s="4"/>
      <c r="XFA5" s="4"/>
      <c r="XFB5" s="4"/>
      <c r="XFC5" s="4"/>
      <c r="XFD5" s="4"/>
    </row>
    <row r="6" spans="1:65 16342:16384" s="21" customFormat="1" ht="18" customHeight="1" x14ac:dyDescent="0.25">
      <c r="A6" s="18" t="s">
        <v>31</v>
      </c>
      <c r="B6" s="19"/>
      <c r="C6" s="19"/>
      <c r="D6" s="19"/>
      <c r="E6" s="19"/>
      <c r="F6" s="19"/>
      <c r="G6" s="19"/>
      <c r="H6" s="19"/>
      <c r="I6" s="19"/>
      <c r="J6" s="19"/>
      <c r="K6" s="20"/>
      <c r="L6" s="19"/>
      <c r="M6" s="19"/>
      <c r="N6" s="20"/>
      <c r="O6" s="19"/>
      <c r="R6" s="22"/>
      <c r="S6" s="22"/>
      <c r="T6" s="22"/>
      <c r="U6" s="21" t="s">
        <v>32</v>
      </c>
      <c r="Y6" s="21" t="s">
        <v>33</v>
      </c>
      <c r="AC6" s="19"/>
      <c r="XDN6" s="19"/>
      <c r="XDO6" s="19"/>
      <c r="XDP6" s="19"/>
      <c r="XDQ6" s="19"/>
      <c r="XDR6" s="19"/>
      <c r="XDS6" s="19"/>
      <c r="XDT6" s="19"/>
      <c r="XDU6" s="19"/>
      <c r="XDV6" s="19"/>
      <c r="XDW6" s="19"/>
      <c r="XDX6" s="19"/>
      <c r="XDY6" s="19"/>
      <c r="XDZ6" s="19"/>
      <c r="XEA6" s="19"/>
      <c r="XEB6" s="19"/>
      <c r="XEC6" s="19"/>
      <c r="XED6" s="19"/>
      <c r="XEE6" s="19"/>
      <c r="XEF6" s="19"/>
      <c r="XEG6" s="19"/>
      <c r="XEH6" s="19"/>
      <c r="XEI6" s="19"/>
      <c r="XEJ6" s="19"/>
      <c r="XEK6" s="19"/>
      <c r="XEL6" s="19"/>
      <c r="XEM6" s="19"/>
      <c r="XEN6" s="19"/>
      <c r="XEO6" s="19"/>
      <c r="XEP6" s="19"/>
      <c r="XEQ6" s="19"/>
      <c r="XER6" s="19"/>
      <c r="XES6" s="19"/>
      <c r="XET6" s="19"/>
      <c r="XEU6" s="19"/>
      <c r="XEV6" s="19"/>
      <c r="XEW6" s="19"/>
      <c r="XEX6" s="4"/>
      <c r="XEY6" s="4"/>
      <c r="XEZ6" s="4"/>
      <c r="XFA6" s="4"/>
      <c r="XFB6" s="4"/>
      <c r="XFC6" s="4"/>
      <c r="XFD6" s="4"/>
    </row>
    <row r="7" spans="1:65 16342:16384" s="21" customFormat="1" ht="18" customHeight="1" x14ac:dyDescent="0.25">
      <c r="A7" s="18" t="s">
        <v>34</v>
      </c>
      <c r="B7" s="19"/>
      <c r="C7" s="19"/>
      <c r="D7" s="19"/>
      <c r="E7" s="19"/>
      <c r="F7" s="19"/>
      <c r="G7" s="19"/>
      <c r="H7" s="19"/>
      <c r="I7" s="19"/>
      <c r="J7" s="19"/>
      <c r="K7" s="20"/>
      <c r="L7" s="19"/>
      <c r="M7" s="19"/>
      <c r="N7" s="20"/>
      <c r="O7" s="19"/>
      <c r="R7" s="22"/>
      <c r="S7" s="22"/>
      <c r="T7" s="22"/>
      <c r="U7" s="4"/>
      <c r="V7" s="21" t="s">
        <v>32</v>
      </c>
      <c r="Y7" s="4"/>
      <c r="Z7" s="21" t="s">
        <v>33</v>
      </c>
      <c r="AC7" s="19"/>
      <c r="AV7" s="21" t="s">
        <v>35</v>
      </c>
      <c r="AW7" s="21" t="s">
        <v>36</v>
      </c>
      <c r="AZ7" s="21" t="s">
        <v>37</v>
      </c>
      <c r="XDN7" s="19"/>
      <c r="XDO7" s="19"/>
      <c r="XDP7" s="19"/>
      <c r="XDQ7" s="19"/>
      <c r="XDR7" s="19"/>
      <c r="XDS7" s="19"/>
      <c r="XDT7" s="19"/>
      <c r="XDU7" s="19"/>
      <c r="XDV7" s="19"/>
      <c r="XDW7" s="19"/>
      <c r="XDX7" s="19"/>
      <c r="XDY7" s="19"/>
      <c r="XDZ7" s="19"/>
      <c r="XEA7" s="19"/>
      <c r="XEB7" s="19"/>
      <c r="XEC7" s="19"/>
      <c r="XED7" s="19"/>
      <c r="XEE7" s="19"/>
      <c r="XEF7" s="19"/>
      <c r="XEG7" s="19"/>
      <c r="XEH7" s="19"/>
      <c r="XEI7" s="19"/>
      <c r="XEJ7" s="19"/>
      <c r="XEK7" s="19"/>
      <c r="XEL7" s="19"/>
      <c r="XEM7" s="19"/>
      <c r="XEN7" s="19"/>
      <c r="XEO7" s="19"/>
      <c r="XEP7" s="19"/>
      <c r="XEQ7" s="19"/>
      <c r="XER7" s="19"/>
      <c r="XES7" s="19"/>
      <c r="XET7" s="19"/>
      <c r="XEU7" s="19"/>
      <c r="XEV7" s="19"/>
      <c r="XEW7" s="19"/>
      <c r="XEX7" s="4"/>
      <c r="XEY7" s="4"/>
      <c r="XEZ7" s="4"/>
      <c r="XFA7" s="4"/>
      <c r="XFB7" s="4"/>
      <c r="XFC7" s="4"/>
      <c r="XFD7" s="4"/>
    </row>
    <row r="8" spans="1:65 16342:16384" s="24" customFormat="1" ht="15" customHeight="1" x14ac:dyDescent="0.25">
      <c r="A8" s="23" t="s">
        <v>38</v>
      </c>
      <c r="B8" s="24">
        <v>143</v>
      </c>
      <c r="C8" s="25">
        <f t="shared" ref="C8:C34" si="0">B8/$P8/10</f>
        <v>3.5051253266139511E-2</v>
      </c>
      <c r="D8" s="24">
        <v>330</v>
      </c>
      <c r="E8" s="25">
        <f t="shared" ref="E8:E34" si="1">D8/$P8/10</f>
        <v>8.0887507537245024E-2</v>
      </c>
      <c r="F8" s="26">
        <v>26.4</v>
      </c>
      <c r="G8" s="25">
        <f t="shared" ref="G8:G34" si="2">F8/$P8/10</f>
        <v>6.4710006029796013E-3</v>
      </c>
      <c r="H8" s="26">
        <v>920</v>
      </c>
      <c r="I8" s="25">
        <f t="shared" ref="I8:I34" si="3">H8/$P8/10</f>
        <v>0.225504566467471</v>
      </c>
      <c r="J8" s="24">
        <f t="shared" ref="J8:J34" si="4">L8*$J$37/100</f>
        <v>185.3</v>
      </c>
      <c r="K8" s="25">
        <f t="shared" ref="K8:K34" si="5">J8/$P8/10</f>
        <v>4.5419561050459099E-2</v>
      </c>
      <c r="L8" s="24">
        <v>1090</v>
      </c>
      <c r="M8" s="24">
        <f t="shared" ref="M8:M34" si="6">O8*$M$37/100</f>
        <v>1346.4</v>
      </c>
      <c r="N8" s="25">
        <f t="shared" ref="N8:N34" si="7">M8/$P8/10</f>
        <v>0.33002103075195971</v>
      </c>
      <c r="O8" s="24">
        <v>9900</v>
      </c>
      <c r="P8" s="27">
        <v>407.97399999999999</v>
      </c>
      <c r="Q8" s="27">
        <f t="shared" ref="Q8:Q34" si="8">100*P8/$P$36</f>
        <v>2.8020973661765569</v>
      </c>
      <c r="R8" s="24">
        <f t="shared" ref="R8:R34" si="9">H8+F8+B8+D8+J8+M8</f>
        <v>2951.1000000000004</v>
      </c>
      <c r="S8" s="27">
        <f t="shared" ref="S8:S34" si="10">R8/P8</f>
        <v>7.2335491967625396</v>
      </c>
      <c r="T8" s="24">
        <f>124*(1.08)^4*3/5</f>
        <v>101.22037862400002</v>
      </c>
      <c r="U8" s="27">
        <f t="shared" ref="U8:U34" si="11">-T8+($Q$45 + $Q$46)*1000*Q8/100</f>
        <v>1143.6421993709644</v>
      </c>
      <c r="V8" s="27">
        <f t="shared" ref="V8:V34" si="12">U8/P8/10</f>
        <v>0.28032232430766774</v>
      </c>
      <c r="W8" s="27">
        <f>U8/P8</f>
        <v>2.8032232430766775</v>
      </c>
      <c r="Y8" s="27">
        <f t="shared" ref="Y8:Y35" si="13">-Q8*($Q$47)*10</f>
        <v>-672.5033678823736</v>
      </c>
      <c r="Z8" s="27">
        <f t="shared" ref="Z8:Z34" si="14">Y8/P8/10</f>
        <v>-0.16483976132850958</v>
      </c>
      <c r="AC8" s="24">
        <v>514.29999999999995</v>
      </c>
      <c r="AH8" s="24" t="s">
        <v>39</v>
      </c>
      <c r="AI8" s="24">
        <v>1</v>
      </c>
      <c r="AJ8" s="24">
        <v>90</v>
      </c>
      <c r="AK8" s="24">
        <f t="shared" ref="AK8:AK34" si="15">AI8+AJ8/100</f>
        <v>1.9</v>
      </c>
      <c r="AL8" s="24">
        <f t="shared" ref="AL8:AL34" si="16">AK8*1000</f>
        <v>1900</v>
      </c>
      <c r="AO8" s="28" t="s">
        <v>40</v>
      </c>
      <c r="AP8" s="24">
        <v>9</v>
      </c>
      <c r="AQ8" s="24">
        <v>9</v>
      </c>
      <c r="AR8" s="28">
        <f t="shared" ref="AR8:AR34" si="17">AP8+AQ8/10</f>
        <v>9.9</v>
      </c>
      <c r="AS8" s="28">
        <f t="shared" ref="AS8:AS34" si="18">1000*AR8</f>
        <v>9900</v>
      </c>
      <c r="AU8" s="28" t="s">
        <v>39</v>
      </c>
      <c r="AV8" s="24">
        <v>1.0900000000000001</v>
      </c>
      <c r="AW8" s="24">
        <v>2.4300000000000002</v>
      </c>
      <c r="AX8" s="24">
        <v>2.81</v>
      </c>
      <c r="AY8" s="24">
        <v>0.86</v>
      </c>
      <c r="AZ8" s="24">
        <v>1.17</v>
      </c>
      <c r="BA8" s="28" t="s">
        <v>41</v>
      </c>
      <c r="BC8" s="28">
        <f t="shared" ref="BC8:BC34" si="19">AV8*1000</f>
        <v>1090</v>
      </c>
      <c r="BE8" s="24" t="s">
        <v>42</v>
      </c>
      <c r="BF8" s="24">
        <v>148</v>
      </c>
      <c r="BG8" s="24">
        <v>105</v>
      </c>
      <c r="BH8" s="24" t="s">
        <v>43</v>
      </c>
      <c r="BI8" s="24">
        <v>143</v>
      </c>
      <c r="BK8" s="24" t="s">
        <v>39</v>
      </c>
      <c r="BL8" s="24">
        <v>330</v>
      </c>
      <c r="BM8" s="24" t="s">
        <v>44</v>
      </c>
    </row>
    <row r="9" spans="1:65 16342:16384" s="24" customFormat="1" ht="15" customHeight="1" x14ac:dyDescent="0.25">
      <c r="A9" s="29" t="s">
        <v>45</v>
      </c>
      <c r="B9" s="24">
        <v>201</v>
      </c>
      <c r="C9" s="25">
        <f t="shared" si="0"/>
        <v>3.9648098469307246E-2</v>
      </c>
      <c r="D9" s="24">
        <v>184</v>
      </c>
      <c r="E9" s="25">
        <f t="shared" si="1"/>
        <v>3.6294776708221559E-2</v>
      </c>
      <c r="F9" s="30">
        <v>61.1</v>
      </c>
      <c r="G9" s="25">
        <f t="shared" si="2"/>
        <v>1.2052232917784442E-2</v>
      </c>
      <c r="H9" s="30">
        <v>722</v>
      </c>
      <c r="I9" s="25">
        <f t="shared" si="3"/>
        <v>0.14241754773552157</v>
      </c>
      <c r="J9" s="24">
        <f t="shared" si="4"/>
        <v>187</v>
      </c>
      <c r="K9" s="25">
        <f t="shared" si="5"/>
        <v>3.6886539371942563E-2</v>
      </c>
      <c r="L9" s="24">
        <v>1100</v>
      </c>
      <c r="M9" s="24">
        <f t="shared" si="6"/>
        <v>1332.8</v>
      </c>
      <c r="N9" s="25">
        <f t="shared" si="7"/>
        <v>0.2629004260691179</v>
      </c>
      <c r="O9" s="24">
        <v>9800</v>
      </c>
      <c r="P9" s="27">
        <v>506.96</v>
      </c>
      <c r="Q9" s="27">
        <f t="shared" si="8"/>
        <v>3.4819652251292172</v>
      </c>
      <c r="R9" s="24">
        <f t="shared" si="9"/>
        <v>2687.8999999999996</v>
      </c>
      <c r="S9" s="27">
        <f t="shared" si="10"/>
        <v>5.3019962127189517</v>
      </c>
      <c r="T9" s="31">
        <f>F9</f>
        <v>61.1</v>
      </c>
      <c r="U9" s="27">
        <f t="shared" si="11"/>
        <v>1485.8013528811325</v>
      </c>
      <c r="V9" s="27">
        <f t="shared" si="12"/>
        <v>0.29308058878040327</v>
      </c>
      <c r="W9" s="27">
        <f>U9/P9</f>
        <v>2.9308058878040328</v>
      </c>
      <c r="Y9" s="27">
        <f t="shared" si="13"/>
        <v>-835.67165403101217</v>
      </c>
      <c r="Z9" s="27">
        <f t="shared" si="14"/>
        <v>-0.16483976132850958</v>
      </c>
      <c r="AC9" s="24">
        <v>642</v>
      </c>
      <c r="AH9" s="24" t="s">
        <v>46</v>
      </c>
      <c r="AI9" s="24">
        <v>1</v>
      </c>
      <c r="AJ9" s="24">
        <v>10</v>
      </c>
      <c r="AK9" s="24">
        <f t="shared" si="15"/>
        <v>1.1000000000000001</v>
      </c>
      <c r="AL9" s="24">
        <f t="shared" si="16"/>
        <v>1100</v>
      </c>
      <c r="AO9" s="28" t="s">
        <v>47</v>
      </c>
      <c r="AP9" s="24">
        <v>9</v>
      </c>
      <c r="AQ9" s="24">
        <v>8</v>
      </c>
      <c r="AR9" s="28">
        <f t="shared" si="17"/>
        <v>9.8000000000000007</v>
      </c>
      <c r="AS9" s="28">
        <f t="shared" si="18"/>
        <v>9800</v>
      </c>
      <c r="AU9" s="28" t="s">
        <v>46</v>
      </c>
      <c r="AV9" s="24">
        <v>1.1000000000000001</v>
      </c>
      <c r="AW9" s="24">
        <v>2.4500000000000002</v>
      </c>
      <c r="AX9" s="24">
        <v>3.46</v>
      </c>
      <c r="AY9" s="24">
        <v>0.71</v>
      </c>
      <c r="AZ9" s="24">
        <v>0.96</v>
      </c>
      <c r="BA9" s="28" t="s">
        <v>48</v>
      </c>
      <c r="BC9" s="28">
        <f t="shared" si="19"/>
        <v>1100</v>
      </c>
      <c r="BE9" s="24" t="s">
        <v>49</v>
      </c>
      <c r="BF9" s="24">
        <v>82</v>
      </c>
      <c r="BG9" s="24">
        <v>148</v>
      </c>
      <c r="BH9" s="24" t="s">
        <v>50</v>
      </c>
      <c r="BI9" s="24">
        <v>201</v>
      </c>
      <c r="BK9" s="24" t="s">
        <v>46</v>
      </c>
      <c r="BL9" s="24">
        <v>184</v>
      </c>
      <c r="BM9" s="24" t="s">
        <v>51</v>
      </c>
    </row>
    <row r="10" spans="1:65 16342:16384" s="24" customFormat="1" ht="15" customHeight="1" x14ac:dyDescent="0.25">
      <c r="A10" s="23" t="s">
        <v>52</v>
      </c>
      <c r="B10" s="24">
        <v>38</v>
      </c>
      <c r="C10" s="25">
        <f t="shared" si="0"/>
        <v>7.2600829177891138E-2</v>
      </c>
      <c r="D10" s="24">
        <v>18</v>
      </c>
      <c r="E10" s="25">
        <f t="shared" si="1"/>
        <v>3.4389866452685276E-2</v>
      </c>
      <c r="F10" s="26">
        <v>0.2</v>
      </c>
      <c r="G10" s="25">
        <f t="shared" si="2"/>
        <v>3.8210962725205861E-4</v>
      </c>
      <c r="H10" s="26">
        <v>40</v>
      </c>
      <c r="I10" s="25">
        <f t="shared" si="3"/>
        <v>7.6421925450411723E-2</v>
      </c>
      <c r="J10" s="24">
        <f t="shared" si="4"/>
        <v>45.9</v>
      </c>
      <c r="K10" s="25">
        <f t="shared" si="5"/>
        <v>8.7694159454347442E-2</v>
      </c>
      <c r="L10" s="24">
        <v>270</v>
      </c>
      <c r="M10" s="24">
        <f t="shared" si="6"/>
        <v>217.6</v>
      </c>
      <c r="N10" s="25">
        <f t="shared" si="7"/>
        <v>0.41573527445023978</v>
      </c>
      <c r="O10" s="24">
        <v>1600</v>
      </c>
      <c r="P10" s="27">
        <v>52.341000000000001</v>
      </c>
      <c r="Q10" s="27">
        <f t="shared" si="8"/>
        <v>0.35949491448731336</v>
      </c>
      <c r="R10" s="24">
        <f t="shared" si="9"/>
        <v>359.7</v>
      </c>
      <c r="S10" s="27">
        <f t="shared" si="10"/>
        <v>6.8722416461282743</v>
      </c>
      <c r="U10" s="27">
        <f t="shared" si="11"/>
        <v>159.70957020504844</v>
      </c>
      <c r="V10" s="27">
        <f t="shared" si="12"/>
        <v>0.30513282169818773</v>
      </c>
      <c r="W10" s="27">
        <f>U10/P10</f>
        <v>3.0513282169818772</v>
      </c>
      <c r="Y10" s="27">
        <f t="shared" si="13"/>
        <v>-86.278779476955208</v>
      </c>
      <c r="Z10" s="27">
        <f t="shared" si="14"/>
        <v>-0.16483976132850958</v>
      </c>
      <c r="AC10" s="24">
        <v>116</v>
      </c>
      <c r="AH10" s="24" t="s">
        <v>53</v>
      </c>
      <c r="AI10" s="24">
        <v>0</v>
      </c>
      <c r="AJ10" s="24">
        <v>27</v>
      </c>
      <c r="AK10" s="24">
        <f t="shared" si="15"/>
        <v>0.27</v>
      </c>
      <c r="AL10" s="24">
        <f t="shared" si="16"/>
        <v>270</v>
      </c>
      <c r="AO10" s="28" t="s">
        <v>52</v>
      </c>
      <c r="AP10" s="24">
        <v>1</v>
      </c>
      <c r="AQ10" s="24">
        <v>6</v>
      </c>
      <c r="AR10" s="28">
        <f t="shared" si="17"/>
        <v>1.6</v>
      </c>
      <c r="AS10" s="28">
        <f t="shared" si="18"/>
        <v>1600</v>
      </c>
      <c r="AU10" s="28" t="s">
        <v>53</v>
      </c>
      <c r="AV10" s="24">
        <v>0.27</v>
      </c>
      <c r="AW10" s="24">
        <v>0.6</v>
      </c>
      <c r="AX10" s="24">
        <v>0.55000000000000004</v>
      </c>
      <c r="AY10" s="24">
        <v>1.0900000000000001</v>
      </c>
      <c r="AZ10" s="24">
        <v>1.48</v>
      </c>
      <c r="BA10" s="28" t="s">
        <v>54</v>
      </c>
      <c r="BC10" s="28">
        <f t="shared" si="19"/>
        <v>270</v>
      </c>
      <c r="BE10" s="24" t="s">
        <v>55</v>
      </c>
      <c r="BF10" s="24">
        <v>8</v>
      </c>
      <c r="BG10" s="24">
        <v>28</v>
      </c>
      <c r="BH10" s="24" t="s">
        <v>50</v>
      </c>
      <c r="BI10" s="24">
        <v>38</v>
      </c>
      <c r="BK10" s="24" t="s">
        <v>53</v>
      </c>
      <c r="BL10" s="24">
        <v>18</v>
      </c>
      <c r="BM10" s="24" t="s">
        <v>56</v>
      </c>
    </row>
    <row r="11" spans="1:65 16342:16384" s="24" customFormat="1" ht="15" customHeight="1" x14ac:dyDescent="0.25">
      <c r="A11" s="29" t="s">
        <v>57</v>
      </c>
      <c r="B11" s="24">
        <v>46</v>
      </c>
      <c r="C11" s="25">
        <f t="shared" si="0"/>
        <v>7.8675514811520825E-2</v>
      </c>
      <c r="D11" s="24">
        <v>26</v>
      </c>
      <c r="E11" s="25">
        <f t="shared" si="1"/>
        <v>4.4468769241294379E-2</v>
      </c>
      <c r="F11" s="30">
        <v>0.3</v>
      </c>
      <c r="G11" s="25">
        <f t="shared" si="2"/>
        <v>5.1310118355339673E-4</v>
      </c>
      <c r="H11" s="30">
        <v>36</v>
      </c>
      <c r="I11" s="25">
        <f t="shared" si="3"/>
        <v>6.1572142026407609E-2</v>
      </c>
      <c r="J11" s="24">
        <f t="shared" si="4"/>
        <v>64.599999999999994</v>
      </c>
      <c r="K11" s="25">
        <f t="shared" si="5"/>
        <v>0.1104877881918314</v>
      </c>
      <c r="L11" s="24">
        <v>380</v>
      </c>
      <c r="M11" s="24">
        <f t="shared" si="6"/>
        <v>312.8</v>
      </c>
      <c r="N11" s="25">
        <f t="shared" si="7"/>
        <v>0.53499350071834173</v>
      </c>
      <c r="O11" s="24">
        <v>2300</v>
      </c>
      <c r="P11" s="27">
        <v>58.468000000000004</v>
      </c>
      <c r="Q11" s="27">
        <f t="shared" si="8"/>
        <v>0.4015771318898041</v>
      </c>
      <c r="R11" s="24">
        <f t="shared" si="9"/>
        <v>485.7</v>
      </c>
      <c r="S11" s="27">
        <f t="shared" si="10"/>
        <v>8.3071081617294915</v>
      </c>
      <c r="U11" s="27">
        <f t="shared" si="11"/>
        <v>178.40505819049639</v>
      </c>
      <c r="V11" s="27">
        <f t="shared" si="12"/>
        <v>0.30513282169818767</v>
      </c>
      <c r="W11" s="27">
        <f t="shared" ref="W11:W35" si="20">ROUND(U11/P11 *100/1000, 2)</f>
        <v>0.31</v>
      </c>
      <c r="Y11" s="27">
        <f t="shared" si="13"/>
        <v>-96.378511653552991</v>
      </c>
      <c r="Z11" s="27">
        <f t="shared" si="14"/>
        <v>-0.16483976132850958</v>
      </c>
      <c r="AC11" s="24">
        <v>93</v>
      </c>
      <c r="AH11" s="24" t="s">
        <v>58</v>
      </c>
      <c r="AI11" s="24">
        <v>0</v>
      </c>
      <c r="AJ11" s="24">
        <v>38</v>
      </c>
      <c r="AK11" s="24">
        <f t="shared" si="15"/>
        <v>0.38</v>
      </c>
      <c r="AL11" s="24">
        <f t="shared" si="16"/>
        <v>380</v>
      </c>
      <c r="AO11" s="28" t="s">
        <v>57</v>
      </c>
      <c r="AP11" s="24">
        <v>2</v>
      </c>
      <c r="AQ11" s="24">
        <v>3</v>
      </c>
      <c r="AR11" s="28">
        <f t="shared" si="17"/>
        <v>2.2999999999999998</v>
      </c>
      <c r="AS11" s="28">
        <f t="shared" si="18"/>
        <v>2300</v>
      </c>
      <c r="AU11" s="28" t="s">
        <v>58</v>
      </c>
      <c r="AV11" s="24">
        <v>0.38</v>
      </c>
      <c r="AW11" s="24">
        <v>0.84</v>
      </c>
      <c r="AX11" s="24">
        <v>0.48</v>
      </c>
      <c r="AY11" s="24">
        <v>1.76</v>
      </c>
      <c r="AZ11" s="24">
        <v>2.39</v>
      </c>
      <c r="BA11" s="28" t="s">
        <v>59</v>
      </c>
      <c r="BC11" s="28">
        <f t="shared" si="19"/>
        <v>380</v>
      </c>
      <c r="BE11" s="24" t="s">
        <v>60</v>
      </c>
      <c r="BF11" s="24">
        <v>12</v>
      </c>
      <c r="BG11" s="24">
        <v>34</v>
      </c>
      <c r="BH11" s="24" t="s">
        <v>50</v>
      </c>
      <c r="BI11" s="24">
        <v>46</v>
      </c>
      <c r="BK11" s="24" t="s">
        <v>58</v>
      </c>
      <c r="BL11" s="24">
        <v>26</v>
      </c>
      <c r="BM11" s="24" t="s">
        <v>61</v>
      </c>
    </row>
    <row r="12" spans="1:65 16342:16384" s="24" customFormat="1" ht="15" customHeight="1" x14ac:dyDescent="0.25">
      <c r="A12" s="23" t="s">
        <v>62</v>
      </c>
      <c r="B12" s="24">
        <v>16</v>
      </c>
      <c r="C12" s="25">
        <f t="shared" si="0"/>
        <v>7.2760345611641658E-2</v>
      </c>
      <c r="D12" s="24">
        <v>17</v>
      </c>
      <c r="E12" s="25">
        <f t="shared" si="1"/>
        <v>7.7307867212369263E-2</v>
      </c>
      <c r="F12" s="26">
        <v>0.8</v>
      </c>
      <c r="G12" s="25">
        <f t="shared" si="2"/>
        <v>3.6380172805820831E-3</v>
      </c>
      <c r="H12" s="26">
        <v>46</v>
      </c>
      <c r="I12" s="25">
        <f t="shared" si="3"/>
        <v>0.20918599363346976</v>
      </c>
      <c r="J12" s="24">
        <f t="shared" si="4"/>
        <v>49.3</v>
      </c>
      <c r="K12" s="25">
        <f t="shared" si="5"/>
        <v>0.22419281491587087</v>
      </c>
      <c r="L12" s="24">
        <v>290</v>
      </c>
      <c r="M12" s="24">
        <f t="shared" si="6"/>
        <v>204</v>
      </c>
      <c r="N12" s="25">
        <f t="shared" si="7"/>
        <v>0.92769440654843116</v>
      </c>
      <c r="O12" s="24">
        <v>1500</v>
      </c>
      <c r="P12" s="27">
        <v>21.99</v>
      </c>
      <c r="Q12" s="27">
        <f t="shared" si="8"/>
        <v>0.15103443131724689</v>
      </c>
      <c r="R12" s="24">
        <f t="shared" si="9"/>
        <v>333.1</v>
      </c>
      <c r="S12" s="27">
        <f t="shared" si="10"/>
        <v>15.14779445202365</v>
      </c>
      <c r="U12" s="27">
        <f t="shared" si="11"/>
        <v>67.098707491431483</v>
      </c>
      <c r="V12" s="27">
        <f t="shared" si="12"/>
        <v>0.30513282169818778</v>
      </c>
      <c r="W12" s="27">
        <f t="shared" si="20"/>
        <v>0.31</v>
      </c>
      <c r="Y12" s="27">
        <f t="shared" si="13"/>
        <v>-36.248263516139254</v>
      </c>
      <c r="Z12" s="27">
        <f t="shared" si="14"/>
        <v>-0.16483976132850958</v>
      </c>
      <c r="AC12" s="24">
        <v>36.5</v>
      </c>
      <c r="AH12" s="24" t="s">
        <v>63</v>
      </c>
      <c r="AI12" s="24">
        <v>0</v>
      </c>
      <c r="AJ12" s="24">
        <v>29</v>
      </c>
      <c r="AK12" s="24">
        <f t="shared" si="15"/>
        <v>0.28999999999999998</v>
      </c>
      <c r="AL12" s="24">
        <f t="shared" si="16"/>
        <v>290</v>
      </c>
      <c r="AO12" s="28" t="s">
        <v>62</v>
      </c>
      <c r="AP12" s="24">
        <v>1</v>
      </c>
      <c r="AQ12" s="24">
        <v>5</v>
      </c>
      <c r="AR12" s="28">
        <f t="shared" si="17"/>
        <v>1.5</v>
      </c>
      <c r="AS12" s="28">
        <f t="shared" si="18"/>
        <v>1500</v>
      </c>
      <c r="AU12" s="28" t="s">
        <v>63</v>
      </c>
      <c r="AV12" s="24">
        <v>0.28999999999999998</v>
      </c>
      <c r="AW12" s="24">
        <v>0.64</v>
      </c>
      <c r="AX12" s="24">
        <v>0.16</v>
      </c>
      <c r="AY12" s="24">
        <v>3.9</v>
      </c>
      <c r="AZ12" s="24">
        <v>5.29</v>
      </c>
      <c r="BA12" s="28" t="s">
        <v>64</v>
      </c>
      <c r="BC12" s="28">
        <f t="shared" si="19"/>
        <v>290</v>
      </c>
      <c r="BE12" s="24" t="s">
        <v>65</v>
      </c>
      <c r="BF12" s="24" t="s">
        <v>66</v>
      </c>
      <c r="BG12" s="24">
        <v>12</v>
      </c>
      <c r="BH12" s="24" t="s">
        <v>50</v>
      </c>
      <c r="BI12" s="24">
        <v>16</v>
      </c>
      <c r="BK12" s="24" t="s">
        <v>67</v>
      </c>
      <c r="BL12" s="24">
        <v>17</v>
      </c>
      <c r="BM12" s="24" t="s">
        <v>68</v>
      </c>
    </row>
    <row r="13" spans="1:65 16342:16384" s="24" customFormat="1" ht="15" customHeight="1" x14ac:dyDescent="0.25">
      <c r="A13" s="29" t="s">
        <v>69</v>
      </c>
      <c r="B13" s="24">
        <v>178</v>
      </c>
      <c r="C13" s="25">
        <f t="shared" si="0"/>
        <v>7.8216660148611644E-2</v>
      </c>
      <c r="D13" s="24">
        <v>263</v>
      </c>
      <c r="E13" s="25">
        <f t="shared" si="1"/>
        <v>0.11556731246676891</v>
      </c>
      <c r="F13" s="30">
        <v>3.8</v>
      </c>
      <c r="G13" s="25">
        <f t="shared" si="2"/>
        <v>1.6697938683411476E-3</v>
      </c>
      <c r="H13" s="30">
        <v>348</v>
      </c>
      <c r="I13" s="25">
        <f t="shared" si="3"/>
        <v>0.15291796478492614</v>
      </c>
      <c r="J13" s="24">
        <f t="shared" si="4"/>
        <v>74.8</v>
      </c>
      <c r="K13" s="25">
        <f t="shared" si="5"/>
        <v>3.2868574039978379E-2</v>
      </c>
      <c r="L13" s="24">
        <v>440</v>
      </c>
      <c r="M13" s="24">
        <f t="shared" si="6"/>
        <v>625.6</v>
      </c>
      <c r="N13" s="25">
        <f t="shared" si="7"/>
        <v>0.27490080106163733</v>
      </c>
      <c r="O13" s="24">
        <v>4600</v>
      </c>
      <c r="P13" s="27">
        <v>227.57300000000001</v>
      </c>
      <c r="Q13" s="27">
        <f t="shared" si="8"/>
        <v>1.5630449585338713</v>
      </c>
      <c r="R13" s="24">
        <f t="shared" si="9"/>
        <v>1493.1999999999998</v>
      </c>
      <c r="S13" s="27">
        <f t="shared" si="10"/>
        <v>6.5614110637026348</v>
      </c>
      <c r="U13" s="27">
        <f t="shared" si="11"/>
        <v>694.39991632321676</v>
      </c>
      <c r="V13" s="27">
        <f t="shared" si="12"/>
        <v>0.30513282169818773</v>
      </c>
      <c r="W13" s="27">
        <f t="shared" si="20"/>
        <v>0.31</v>
      </c>
      <c r="Y13" s="27">
        <f t="shared" si="13"/>
        <v>-375.13079004812909</v>
      </c>
      <c r="Z13" s="27">
        <f t="shared" si="14"/>
        <v>-0.16483976132850958</v>
      </c>
      <c r="AC13" s="24">
        <v>347.3</v>
      </c>
      <c r="AH13" s="24" t="s">
        <v>70</v>
      </c>
      <c r="AI13" s="24">
        <v>0</v>
      </c>
      <c r="AJ13" s="24">
        <v>44</v>
      </c>
      <c r="AK13" s="24">
        <f t="shared" si="15"/>
        <v>0.44</v>
      </c>
      <c r="AL13" s="24">
        <f t="shared" si="16"/>
        <v>440</v>
      </c>
      <c r="AO13" s="28" t="s">
        <v>71</v>
      </c>
      <c r="AP13" s="24">
        <v>4</v>
      </c>
      <c r="AQ13" s="24">
        <v>6</v>
      </c>
      <c r="AR13" s="28">
        <f t="shared" si="17"/>
        <v>4.5999999999999996</v>
      </c>
      <c r="AS13" s="28">
        <f t="shared" si="18"/>
        <v>4600</v>
      </c>
      <c r="AU13" s="28" t="s">
        <v>70</v>
      </c>
      <c r="AV13" s="24">
        <v>0.44</v>
      </c>
      <c r="AW13" s="24">
        <v>0.98</v>
      </c>
      <c r="AX13" s="24">
        <v>1.68</v>
      </c>
      <c r="AY13" s="24">
        <v>0.57999999999999996</v>
      </c>
      <c r="AZ13" s="24">
        <v>0.79</v>
      </c>
      <c r="BA13" s="28" t="s">
        <v>72</v>
      </c>
      <c r="BC13" s="28">
        <f t="shared" si="19"/>
        <v>440</v>
      </c>
      <c r="BE13" s="24" t="s">
        <v>73</v>
      </c>
      <c r="BF13" s="24">
        <v>118</v>
      </c>
      <c r="BG13" s="24">
        <v>131</v>
      </c>
      <c r="BH13" s="24" t="s">
        <v>50</v>
      </c>
      <c r="BI13" s="24">
        <v>178</v>
      </c>
      <c r="BK13" s="24" t="s">
        <v>74</v>
      </c>
      <c r="BL13" s="24">
        <v>263</v>
      </c>
      <c r="BM13" s="24" t="s">
        <v>75</v>
      </c>
    </row>
    <row r="14" spans="1:65 16342:16384" s="24" customFormat="1" ht="15" customHeight="1" x14ac:dyDescent="0.25">
      <c r="A14" s="23" t="s">
        <v>76</v>
      </c>
      <c r="B14" s="24">
        <v>108</v>
      </c>
      <c r="C14" s="25">
        <f t="shared" si="0"/>
        <v>3.1001877335905342E-2</v>
      </c>
      <c r="D14" s="24">
        <v>258</v>
      </c>
      <c r="E14" s="25">
        <f t="shared" si="1"/>
        <v>7.4060040302440538E-2</v>
      </c>
      <c r="F14" s="26">
        <v>113.8</v>
      </c>
      <c r="G14" s="25">
        <f t="shared" si="2"/>
        <v>3.2666792970611369E-2</v>
      </c>
      <c r="H14" s="26">
        <v>533</v>
      </c>
      <c r="I14" s="25">
        <f t="shared" si="3"/>
        <v>0.15300000574108841</v>
      </c>
      <c r="J14" s="24">
        <f t="shared" si="4"/>
        <v>192.1</v>
      </c>
      <c r="K14" s="25">
        <f t="shared" si="5"/>
        <v>5.5143154039142737E-2</v>
      </c>
      <c r="L14" s="24">
        <v>1130</v>
      </c>
      <c r="M14" s="24">
        <f t="shared" si="6"/>
        <v>571.20000000000005</v>
      </c>
      <c r="N14" s="25">
        <f t="shared" si="7"/>
        <v>0.16396548457656607</v>
      </c>
      <c r="O14" s="24">
        <v>4200</v>
      </c>
      <c r="P14" s="27">
        <v>348.36599999999999</v>
      </c>
      <c r="Q14" s="27">
        <f t="shared" si="8"/>
        <v>2.3926903456236488</v>
      </c>
      <c r="R14" s="24">
        <f t="shared" si="9"/>
        <v>1776.1</v>
      </c>
      <c r="S14" s="27">
        <f t="shared" si="10"/>
        <v>5.098373549657544</v>
      </c>
      <c r="U14" s="27">
        <f t="shared" si="11"/>
        <v>1062.9790056371087</v>
      </c>
      <c r="V14" s="27">
        <f t="shared" si="12"/>
        <v>0.30513282169818778</v>
      </c>
      <c r="W14" s="27">
        <f t="shared" si="20"/>
        <v>0.31</v>
      </c>
      <c r="Y14" s="27">
        <f t="shared" si="13"/>
        <v>-574.24568294967571</v>
      </c>
      <c r="Z14" s="27">
        <f t="shared" si="14"/>
        <v>-0.16483976132850958</v>
      </c>
      <c r="AC14" s="24">
        <v>417.8</v>
      </c>
      <c r="AH14" s="24" t="s">
        <v>77</v>
      </c>
      <c r="AI14" s="24">
        <v>1</v>
      </c>
      <c r="AJ14" s="24">
        <v>13</v>
      </c>
      <c r="AK14" s="24">
        <f t="shared" si="15"/>
        <v>1.1299999999999999</v>
      </c>
      <c r="AL14" s="24">
        <f t="shared" si="16"/>
        <v>1130</v>
      </c>
      <c r="AO14" s="28" t="s">
        <v>78</v>
      </c>
      <c r="AP14" s="24">
        <v>4</v>
      </c>
      <c r="AQ14" s="24">
        <v>2</v>
      </c>
      <c r="AR14" s="28">
        <f t="shared" si="17"/>
        <v>4.2</v>
      </c>
      <c r="AS14" s="28">
        <f t="shared" si="18"/>
        <v>4200</v>
      </c>
      <c r="AU14" s="28" t="s">
        <v>77</v>
      </c>
      <c r="AV14" s="24">
        <v>1.1299999999999999</v>
      </c>
      <c r="AW14" s="24">
        <v>2.5</v>
      </c>
      <c r="AX14" s="24">
        <v>2.27</v>
      </c>
      <c r="AY14" s="24">
        <v>1.1000000000000001</v>
      </c>
      <c r="AZ14" s="24">
        <v>1.49</v>
      </c>
      <c r="BA14" s="28" t="s">
        <v>79</v>
      </c>
      <c r="BC14" s="28">
        <f t="shared" si="19"/>
        <v>1130</v>
      </c>
      <c r="BE14" s="24" t="s">
        <v>80</v>
      </c>
      <c r="BF14" s="24">
        <v>116</v>
      </c>
      <c r="BG14" s="24">
        <v>79</v>
      </c>
      <c r="BH14" s="24" t="s">
        <v>50</v>
      </c>
      <c r="BI14" s="24">
        <v>108</v>
      </c>
      <c r="BK14" s="24" t="s">
        <v>77</v>
      </c>
      <c r="BL14" s="24">
        <v>258</v>
      </c>
      <c r="BM14" s="24" t="s">
        <v>81</v>
      </c>
    </row>
    <row r="15" spans="1:65 16342:16384" s="24" customFormat="1" ht="15" customHeight="1" x14ac:dyDescent="0.25">
      <c r="A15" s="29" t="s">
        <v>82</v>
      </c>
      <c r="B15" s="24">
        <v>23</v>
      </c>
      <c r="C15" s="25">
        <f t="shared" si="0"/>
        <v>7.443606589210007E-2</v>
      </c>
      <c r="D15" s="24">
        <v>21</v>
      </c>
      <c r="E15" s="25">
        <f t="shared" si="1"/>
        <v>6.7963364510178328E-2</v>
      </c>
      <c r="F15" s="30">
        <v>0.1</v>
      </c>
      <c r="G15" s="25">
        <f t="shared" si="2"/>
        <v>3.2363506909608726E-4</v>
      </c>
      <c r="H15" s="30">
        <v>29</v>
      </c>
      <c r="I15" s="25">
        <f t="shared" si="3"/>
        <v>9.3854170037865309E-2</v>
      </c>
      <c r="J15" s="24">
        <f t="shared" si="4"/>
        <v>15.3</v>
      </c>
      <c r="K15" s="25">
        <f t="shared" si="5"/>
        <v>4.9516165571701347E-2</v>
      </c>
      <c r="L15" s="24">
        <v>90</v>
      </c>
      <c r="M15" s="24">
        <f t="shared" si="6"/>
        <v>68</v>
      </c>
      <c r="N15" s="25">
        <f t="shared" si="7"/>
        <v>0.22007184698533933</v>
      </c>
      <c r="O15" s="24">
        <v>500</v>
      </c>
      <c r="P15" s="27">
        <v>30.899000000000001</v>
      </c>
      <c r="Q15" s="27">
        <f t="shared" si="8"/>
        <v>0.2122243243870674</v>
      </c>
      <c r="R15" s="24">
        <f t="shared" si="9"/>
        <v>156.39999999999998</v>
      </c>
      <c r="S15" s="27">
        <f t="shared" si="10"/>
        <v>5.0616524806628034</v>
      </c>
      <c r="U15" s="27">
        <f t="shared" si="11"/>
        <v>94.282990576523019</v>
      </c>
      <c r="V15" s="27">
        <f t="shared" si="12"/>
        <v>0.30513282169818773</v>
      </c>
      <c r="W15" s="27">
        <f t="shared" si="20"/>
        <v>0.31</v>
      </c>
      <c r="Y15" s="27">
        <f t="shared" si="13"/>
        <v>-50.933837852896175</v>
      </c>
      <c r="Z15" s="27">
        <f t="shared" si="14"/>
        <v>-0.16483976132850958</v>
      </c>
      <c r="AC15" s="24">
        <v>41.9</v>
      </c>
      <c r="AH15" s="24" t="s">
        <v>83</v>
      </c>
      <c r="AI15" s="24">
        <v>0</v>
      </c>
      <c r="AJ15" s="24">
        <v>90</v>
      </c>
      <c r="AK15" s="24">
        <f t="shared" si="15"/>
        <v>0.9</v>
      </c>
      <c r="AL15" s="24">
        <f t="shared" si="16"/>
        <v>900</v>
      </c>
      <c r="AO15" s="28" t="s">
        <v>82</v>
      </c>
      <c r="AP15" s="24">
        <v>0</v>
      </c>
      <c r="AQ15" s="24">
        <v>5</v>
      </c>
      <c r="AR15" s="28">
        <f t="shared" si="17"/>
        <v>0.5</v>
      </c>
      <c r="AS15" s="28">
        <f t="shared" si="18"/>
        <v>500</v>
      </c>
      <c r="AU15" s="28" t="s">
        <v>83</v>
      </c>
      <c r="AV15" s="24">
        <v>0.09</v>
      </c>
      <c r="AW15" s="24">
        <v>0.22</v>
      </c>
      <c r="AX15" s="24">
        <v>0.22</v>
      </c>
      <c r="AY15" s="24">
        <v>0.96</v>
      </c>
      <c r="AZ15" s="24">
        <v>1.3</v>
      </c>
      <c r="BA15" s="28" t="s">
        <v>84</v>
      </c>
      <c r="BC15" s="28">
        <f t="shared" si="19"/>
        <v>90</v>
      </c>
      <c r="BE15" s="24" t="s">
        <v>85</v>
      </c>
      <c r="BF15" s="24">
        <v>10</v>
      </c>
      <c r="BG15" s="24">
        <v>17</v>
      </c>
      <c r="BH15" s="24" t="s">
        <v>50</v>
      </c>
      <c r="BI15" s="24">
        <v>23</v>
      </c>
      <c r="BK15" s="24" t="s">
        <v>83</v>
      </c>
      <c r="BL15" s="24">
        <v>21</v>
      </c>
      <c r="BM15" s="24" t="s">
        <v>86</v>
      </c>
    </row>
    <row r="16" spans="1:65 16342:16384" s="24" customFormat="1" ht="15" customHeight="1" x14ac:dyDescent="0.25">
      <c r="A16" s="23" t="s">
        <v>87</v>
      </c>
      <c r="B16" s="24">
        <v>97</v>
      </c>
      <c r="C16" s="25">
        <f t="shared" si="0"/>
        <v>3.7978598863774291E-2</v>
      </c>
      <c r="D16" s="24">
        <v>133</v>
      </c>
      <c r="E16" s="25">
        <f t="shared" si="1"/>
        <v>5.2073748957546184E-2</v>
      </c>
      <c r="F16" s="26">
        <v>81.3</v>
      </c>
      <c r="G16" s="25">
        <f t="shared" si="2"/>
        <v>3.1831547295101542E-2</v>
      </c>
      <c r="H16" s="26">
        <v>152</v>
      </c>
      <c r="I16" s="25">
        <f t="shared" si="3"/>
        <v>5.9512855951481355E-2</v>
      </c>
      <c r="J16" s="24">
        <f t="shared" si="4"/>
        <v>122.4</v>
      </c>
      <c r="K16" s="25">
        <f t="shared" si="5"/>
        <v>4.7923510318824462E-2</v>
      </c>
      <c r="L16" s="24">
        <v>720</v>
      </c>
      <c r="M16" s="24">
        <f t="shared" si="6"/>
        <v>394.4</v>
      </c>
      <c r="N16" s="25">
        <f t="shared" si="7"/>
        <v>0.15442019991621214</v>
      </c>
      <c r="O16" s="24">
        <v>2900</v>
      </c>
      <c r="P16" s="27">
        <v>255.40700000000001</v>
      </c>
      <c r="Q16" s="27">
        <f t="shared" si="8"/>
        <v>1.7542178717346104</v>
      </c>
      <c r="R16" s="24">
        <f t="shared" si="9"/>
        <v>980.1</v>
      </c>
      <c r="S16" s="27">
        <f t="shared" si="10"/>
        <v>3.8374046130293999</v>
      </c>
      <c r="U16" s="27">
        <f t="shared" si="11"/>
        <v>779.33058591469035</v>
      </c>
      <c r="V16" s="27">
        <f t="shared" si="12"/>
        <v>0.30513282169818773</v>
      </c>
      <c r="W16" s="27">
        <f t="shared" si="20"/>
        <v>0.31</v>
      </c>
      <c r="Y16" s="27">
        <f t="shared" si="13"/>
        <v>-421.0122892163065</v>
      </c>
      <c r="Z16" s="27">
        <f t="shared" si="14"/>
        <v>-0.16483976132850958</v>
      </c>
      <c r="AC16" s="24">
        <v>281.7</v>
      </c>
      <c r="AH16" s="24" t="s">
        <v>88</v>
      </c>
      <c r="AI16" s="24">
        <v>0</v>
      </c>
      <c r="AJ16" s="24">
        <v>72</v>
      </c>
      <c r="AK16" s="24">
        <f t="shared" si="15"/>
        <v>0.72</v>
      </c>
      <c r="AL16" s="24">
        <f t="shared" si="16"/>
        <v>720</v>
      </c>
      <c r="AO16" s="28" t="s">
        <v>87</v>
      </c>
      <c r="AP16" s="24">
        <v>2</v>
      </c>
      <c r="AQ16" s="24">
        <v>9</v>
      </c>
      <c r="AR16" s="28">
        <f t="shared" si="17"/>
        <v>2.9</v>
      </c>
      <c r="AS16" s="28">
        <f t="shared" si="18"/>
        <v>2900</v>
      </c>
      <c r="AU16" s="28" t="s">
        <v>88</v>
      </c>
      <c r="AV16" s="24">
        <v>0.72</v>
      </c>
      <c r="AW16" s="24">
        <v>1.59</v>
      </c>
      <c r="AX16" s="24">
        <v>1.6</v>
      </c>
      <c r="AY16" s="24">
        <v>1</v>
      </c>
      <c r="AZ16" s="24">
        <v>1.36</v>
      </c>
      <c r="BA16" s="28" t="s">
        <v>89</v>
      </c>
      <c r="BC16" s="28">
        <f t="shared" si="19"/>
        <v>720</v>
      </c>
      <c r="BE16" s="24" t="s">
        <v>90</v>
      </c>
      <c r="BF16" s="24">
        <v>60</v>
      </c>
      <c r="BG16" s="24">
        <v>71</v>
      </c>
      <c r="BH16" s="24" t="s">
        <v>50</v>
      </c>
      <c r="BI16" s="24">
        <v>97</v>
      </c>
      <c r="BK16" s="24" t="s">
        <v>88</v>
      </c>
      <c r="BL16" s="24">
        <v>133</v>
      </c>
      <c r="BM16" s="24" t="s">
        <v>91</v>
      </c>
    </row>
    <row r="17" spans="1:65" s="24" customFormat="1" ht="15" customHeight="1" x14ac:dyDescent="0.25">
      <c r="A17" s="29" t="s">
        <v>92</v>
      </c>
      <c r="B17" s="24">
        <v>1084</v>
      </c>
      <c r="C17" s="25">
        <f t="shared" si="0"/>
        <v>4.2102254101862593E-2</v>
      </c>
      <c r="D17" s="24">
        <v>1691</v>
      </c>
      <c r="E17" s="25">
        <f t="shared" si="1"/>
        <v>6.5677962810193405E-2</v>
      </c>
      <c r="F17" s="30">
        <v>3100</v>
      </c>
      <c r="G17" s="25">
        <f t="shared" si="2"/>
        <v>0.12040312519905354</v>
      </c>
      <c r="H17" s="30">
        <v>6670</v>
      </c>
      <c r="I17" s="25">
        <f t="shared" si="3"/>
        <v>0.25906091776699586</v>
      </c>
      <c r="J17" s="24">
        <f t="shared" si="4"/>
        <v>914.6</v>
      </c>
      <c r="K17" s="25">
        <f t="shared" si="5"/>
        <v>3.5522805905501408E-2</v>
      </c>
      <c r="L17" s="24">
        <v>5380</v>
      </c>
      <c r="M17" s="24">
        <f t="shared" si="6"/>
        <v>8432</v>
      </c>
      <c r="N17" s="25">
        <f t="shared" si="7"/>
        <v>0.32749650054142565</v>
      </c>
      <c r="O17" s="24">
        <v>62000</v>
      </c>
      <c r="P17" s="27">
        <v>2574.6840000000002</v>
      </c>
      <c r="Q17" s="27">
        <f t="shared" si="8"/>
        <v>17.683762335680516</v>
      </c>
      <c r="R17" s="24">
        <f t="shared" si="9"/>
        <v>21891.599999999999</v>
      </c>
      <c r="S17" s="27">
        <f t="shared" si="10"/>
        <v>8.5026356632503237</v>
      </c>
      <c r="T17" s="24">
        <f>B17+F17</f>
        <v>4184</v>
      </c>
      <c r="U17" s="27">
        <f t="shared" si="11"/>
        <v>3672.2059390117684</v>
      </c>
      <c r="V17" s="27">
        <f t="shared" si="12"/>
        <v>0.1426274423972716</v>
      </c>
      <c r="W17" s="27">
        <f t="shared" si="20"/>
        <v>0.14000000000000001</v>
      </c>
      <c r="Y17" s="27">
        <f t="shared" si="13"/>
        <v>-4244.1029605633239</v>
      </c>
      <c r="Z17" s="27">
        <f t="shared" si="14"/>
        <v>-0.16483976132850958</v>
      </c>
      <c r="AC17" s="24">
        <v>2991.1</v>
      </c>
      <c r="AH17" s="24" t="s">
        <v>93</v>
      </c>
      <c r="AI17" s="24">
        <v>5</v>
      </c>
      <c r="AJ17" s="24">
        <v>38</v>
      </c>
      <c r="AK17" s="24">
        <f t="shared" si="15"/>
        <v>5.38</v>
      </c>
      <c r="AL17" s="24">
        <f t="shared" si="16"/>
        <v>5380</v>
      </c>
      <c r="AO17" s="28" t="s">
        <v>94</v>
      </c>
      <c r="AP17" s="24">
        <v>62</v>
      </c>
      <c r="AQ17" s="24">
        <v>0</v>
      </c>
      <c r="AR17" s="28">
        <f t="shared" si="17"/>
        <v>62</v>
      </c>
      <c r="AS17" s="28">
        <f t="shared" si="18"/>
        <v>62000</v>
      </c>
      <c r="AU17" s="28" t="s">
        <v>93</v>
      </c>
      <c r="AV17" s="24">
        <v>5.38</v>
      </c>
      <c r="AW17" s="24">
        <v>11.96</v>
      </c>
      <c r="AX17" s="24">
        <v>16.61</v>
      </c>
      <c r="AY17" s="24">
        <v>0.72</v>
      </c>
      <c r="AZ17" s="24">
        <v>0.98</v>
      </c>
      <c r="BA17" s="28" t="s">
        <v>95</v>
      </c>
      <c r="BC17" s="28">
        <f t="shared" si="19"/>
        <v>5380</v>
      </c>
      <c r="BE17" s="24" t="s">
        <v>96</v>
      </c>
      <c r="BF17" s="24" t="s">
        <v>97</v>
      </c>
      <c r="BG17" s="24">
        <v>797</v>
      </c>
      <c r="BH17" s="24">
        <v>756</v>
      </c>
      <c r="BI17" s="24">
        <v>1084</v>
      </c>
      <c r="BK17" s="24" t="s">
        <v>93</v>
      </c>
      <c r="BL17" s="24">
        <v>1691</v>
      </c>
      <c r="BM17" s="24" t="s">
        <v>98</v>
      </c>
    </row>
    <row r="18" spans="1:65" s="24" customFormat="1" ht="15" customHeight="1" x14ac:dyDescent="0.25">
      <c r="A18" s="23" t="s">
        <v>99</v>
      </c>
      <c r="B18" s="24">
        <v>978</v>
      </c>
      <c r="C18" s="25">
        <f t="shared" si="0"/>
        <v>2.6223368399714918E-2</v>
      </c>
      <c r="D18" s="24">
        <v>2700</v>
      </c>
      <c r="E18" s="25">
        <f t="shared" si="1"/>
        <v>7.2395802330501316E-2</v>
      </c>
      <c r="F18" s="26">
        <v>1595.2</v>
      </c>
      <c r="G18" s="25">
        <f t="shared" si="2"/>
        <v>4.2772512547265072E-2</v>
      </c>
      <c r="H18" s="26">
        <v>8344</v>
      </c>
      <c r="I18" s="25">
        <f t="shared" si="3"/>
        <v>0.22372984246137148</v>
      </c>
      <c r="J18" s="24">
        <f t="shared" si="4"/>
        <v>1026.8</v>
      </c>
      <c r="K18" s="25">
        <f t="shared" si="5"/>
        <v>2.7531855493688424E-2</v>
      </c>
      <c r="L18" s="24">
        <v>6040</v>
      </c>
      <c r="M18" s="24">
        <f t="shared" si="6"/>
        <v>7847.2</v>
      </c>
      <c r="N18" s="25">
        <f t="shared" si="7"/>
        <v>0.21040901483255925</v>
      </c>
      <c r="O18" s="24">
        <v>57700</v>
      </c>
      <c r="P18" s="27">
        <v>3729.498</v>
      </c>
      <c r="Q18" s="27">
        <f t="shared" si="8"/>
        <v>25.615398341464743</v>
      </c>
      <c r="R18" s="24">
        <f t="shared" si="9"/>
        <v>22491.200000000001</v>
      </c>
      <c r="S18" s="27">
        <f t="shared" si="10"/>
        <v>6.0306239606510044</v>
      </c>
      <c r="U18" s="27">
        <f t="shared" si="11"/>
        <v>11379.922482577478</v>
      </c>
      <c r="V18" s="27">
        <f t="shared" si="12"/>
        <v>0.30513282169818778</v>
      </c>
      <c r="W18" s="27">
        <f t="shared" si="20"/>
        <v>0.31</v>
      </c>
      <c r="Y18" s="27">
        <f t="shared" si="13"/>
        <v>-6147.6956019515383</v>
      </c>
      <c r="Z18" s="27">
        <f t="shared" si="14"/>
        <v>-0.16483976132850958</v>
      </c>
      <c r="AC18" s="24">
        <v>4529.7</v>
      </c>
      <c r="AH18" s="24" t="s">
        <v>100</v>
      </c>
      <c r="AI18" s="24">
        <v>6</v>
      </c>
      <c r="AJ18" s="24">
        <v>40</v>
      </c>
      <c r="AK18" s="24">
        <f t="shared" si="15"/>
        <v>6.4</v>
      </c>
      <c r="AL18" s="24">
        <f t="shared" si="16"/>
        <v>6400</v>
      </c>
      <c r="AO18" s="28" t="s">
        <v>101</v>
      </c>
      <c r="AP18" s="24">
        <v>57</v>
      </c>
      <c r="AQ18" s="24">
        <v>7</v>
      </c>
      <c r="AR18" s="28">
        <f t="shared" si="17"/>
        <v>57.7</v>
      </c>
      <c r="AS18" s="28">
        <f t="shared" si="18"/>
        <v>57700</v>
      </c>
      <c r="AU18" s="28" t="s">
        <v>100</v>
      </c>
      <c r="AV18" s="24">
        <v>6.04</v>
      </c>
      <c r="AW18" s="24">
        <v>13.43</v>
      </c>
      <c r="AX18" s="24">
        <v>24.81</v>
      </c>
      <c r="AY18" s="24">
        <v>0.54</v>
      </c>
      <c r="AZ18" s="24">
        <v>0.73</v>
      </c>
      <c r="BA18" s="28" t="s">
        <v>102</v>
      </c>
      <c r="BC18" s="28">
        <f t="shared" si="19"/>
        <v>6040</v>
      </c>
      <c r="BE18" s="24" t="s">
        <v>103</v>
      </c>
      <c r="BF18" s="24" t="s">
        <v>104</v>
      </c>
      <c r="BG18" s="24">
        <v>719</v>
      </c>
      <c r="BH18" s="24" t="s">
        <v>50</v>
      </c>
      <c r="BI18" s="24">
        <v>978</v>
      </c>
      <c r="BK18" s="24" t="s">
        <v>100</v>
      </c>
      <c r="BL18" s="24">
        <v>2700</v>
      </c>
      <c r="BM18" s="24" t="s">
        <v>105</v>
      </c>
    </row>
    <row r="19" spans="1:65" s="24" customFormat="1" ht="15" customHeight="1" x14ac:dyDescent="0.25">
      <c r="A19" s="29" t="s">
        <v>106</v>
      </c>
      <c r="B19" s="24">
        <v>91</v>
      </c>
      <c r="C19" s="25">
        <f t="shared" si="0"/>
        <v>5.0309319386779149E-2</v>
      </c>
      <c r="D19" s="24">
        <v>54</v>
      </c>
      <c r="E19" s="25">
        <f t="shared" si="1"/>
        <v>2.9853881833912903E-2</v>
      </c>
      <c r="F19" s="30">
        <v>22.7</v>
      </c>
      <c r="G19" s="25">
        <f t="shared" si="2"/>
        <v>1.2549687363515239E-2</v>
      </c>
      <c r="H19" s="30">
        <v>118</v>
      </c>
      <c r="I19" s="25">
        <f t="shared" si="3"/>
        <v>6.523626030373561E-2</v>
      </c>
      <c r="J19" s="24">
        <f t="shared" si="4"/>
        <v>431.8</v>
      </c>
      <c r="K19" s="25">
        <f t="shared" si="5"/>
        <v>0.23872048473858504</v>
      </c>
      <c r="L19" s="24">
        <v>2540</v>
      </c>
      <c r="M19" s="24">
        <f t="shared" si="6"/>
        <v>856.8</v>
      </c>
      <c r="N19" s="25">
        <f t="shared" si="7"/>
        <v>0.47368159176475133</v>
      </c>
      <c r="O19" s="24">
        <v>6300</v>
      </c>
      <c r="P19" s="27">
        <v>180.881</v>
      </c>
      <c r="Q19" s="27">
        <f t="shared" si="8"/>
        <v>1.2423492028692558</v>
      </c>
      <c r="R19" s="24">
        <f t="shared" si="9"/>
        <v>1574.3</v>
      </c>
      <c r="S19" s="27">
        <f t="shared" si="10"/>
        <v>8.7035122539127929</v>
      </c>
      <c r="T19" s="31">
        <f>F19</f>
        <v>22.7</v>
      </c>
      <c r="U19" s="27">
        <f t="shared" si="11"/>
        <v>529.22729921589882</v>
      </c>
      <c r="V19" s="27">
        <f t="shared" si="12"/>
        <v>0.29258313433467242</v>
      </c>
      <c r="W19" s="27">
        <f t="shared" si="20"/>
        <v>0.28999999999999998</v>
      </c>
      <c r="Y19" s="27">
        <f t="shared" si="13"/>
        <v>-298.16380868862143</v>
      </c>
      <c r="Z19" s="27">
        <f t="shared" si="14"/>
        <v>-0.16483976132850958</v>
      </c>
      <c r="AC19" s="24">
        <v>248.4</v>
      </c>
      <c r="AH19" s="24" t="s">
        <v>107</v>
      </c>
      <c r="AI19" s="24">
        <v>2</v>
      </c>
      <c r="AJ19" s="24">
        <v>54</v>
      </c>
      <c r="AK19" s="24">
        <f t="shared" si="15"/>
        <v>2.54</v>
      </c>
      <c r="AL19" s="24">
        <f t="shared" si="16"/>
        <v>2540</v>
      </c>
      <c r="AO19" s="28" t="s">
        <v>108</v>
      </c>
      <c r="AP19" s="24">
        <v>6</v>
      </c>
      <c r="AQ19" s="24">
        <v>3</v>
      </c>
      <c r="AR19" s="28">
        <f t="shared" si="17"/>
        <v>6.3</v>
      </c>
      <c r="AS19" s="28">
        <f t="shared" si="18"/>
        <v>6300</v>
      </c>
      <c r="AU19" s="28" t="s">
        <v>107</v>
      </c>
      <c r="AV19" s="24">
        <v>2.54</v>
      </c>
      <c r="AW19" s="24">
        <v>5.64</v>
      </c>
      <c r="AX19" s="24">
        <v>1.3</v>
      </c>
      <c r="AY19" s="24">
        <v>4.34</v>
      </c>
      <c r="AZ19" s="24">
        <v>5.88</v>
      </c>
      <c r="BA19" s="28" t="s">
        <v>109</v>
      </c>
      <c r="BC19" s="28">
        <f t="shared" si="19"/>
        <v>2540</v>
      </c>
      <c r="BE19" s="24" t="s">
        <v>110</v>
      </c>
      <c r="BF19" s="24">
        <v>25</v>
      </c>
      <c r="BG19" s="24">
        <v>67</v>
      </c>
      <c r="BH19" s="24" t="s">
        <v>50</v>
      </c>
      <c r="BI19" s="24">
        <v>91</v>
      </c>
      <c r="BK19" s="24" t="s">
        <v>107</v>
      </c>
      <c r="BL19" s="24">
        <v>54</v>
      </c>
      <c r="BM19" s="24" t="s">
        <v>111</v>
      </c>
    </row>
    <row r="20" spans="1:65" s="24" customFormat="1" ht="15" customHeight="1" x14ac:dyDescent="0.25">
      <c r="A20" s="23" t="s">
        <v>112</v>
      </c>
      <c r="B20" s="24">
        <v>140</v>
      </c>
      <c r="C20" s="25">
        <f t="shared" si="0"/>
        <v>9.4007681770567536E-2</v>
      </c>
      <c r="D20" s="24">
        <v>113</v>
      </c>
      <c r="E20" s="25">
        <f t="shared" si="1"/>
        <v>7.5877628857672366E-2</v>
      </c>
      <c r="F20" s="26">
        <v>5.9</v>
      </c>
      <c r="G20" s="25">
        <f t="shared" si="2"/>
        <v>3.9617523031882035E-3</v>
      </c>
      <c r="H20" s="26">
        <v>208</v>
      </c>
      <c r="I20" s="25">
        <f t="shared" si="3"/>
        <v>0.13966855577341461</v>
      </c>
      <c r="J20" s="24">
        <f t="shared" si="4"/>
        <v>62.9</v>
      </c>
      <c r="K20" s="25">
        <f t="shared" si="5"/>
        <v>4.2236308452633556E-2</v>
      </c>
      <c r="L20" s="24">
        <v>370</v>
      </c>
      <c r="M20" s="24">
        <f t="shared" si="6"/>
        <v>340</v>
      </c>
      <c r="N20" s="25">
        <f t="shared" si="7"/>
        <v>0.22830437001423545</v>
      </c>
      <c r="O20" s="24">
        <v>2500</v>
      </c>
      <c r="P20" s="27">
        <v>148.92400000000001</v>
      </c>
      <c r="Q20" s="27">
        <f t="shared" si="8"/>
        <v>1.0228581923369569</v>
      </c>
      <c r="R20" s="24">
        <f t="shared" si="9"/>
        <v>869.8</v>
      </c>
      <c r="S20" s="27">
        <f t="shared" si="10"/>
        <v>5.8405629717171168</v>
      </c>
      <c r="U20" s="27">
        <f t="shared" si="11"/>
        <v>454.41600338580918</v>
      </c>
      <c r="V20" s="27">
        <f t="shared" si="12"/>
        <v>0.30513282169818778</v>
      </c>
      <c r="W20" s="27">
        <f t="shared" si="20"/>
        <v>0.31</v>
      </c>
      <c r="Y20" s="27">
        <f t="shared" si="13"/>
        <v>-245.48596616086965</v>
      </c>
      <c r="Z20" s="27">
        <f t="shared" si="14"/>
        <v>-0.16483976132850958</v>
      </c>
      <c r="AC20" s="24">
        <v>218.8</v>
      </c>
      <c r="AH20" s="24" t="s">
        <v>113</v>
      </c>
      <c r="AI20" s="24">
        <v>0</v>
      </c>
      <c r="AJ20" s="24">
        <v>37</v>
      </c>
      <c r="AK20" s="24">
        <f t="shared" si="15"/>
        <v>0.37</v>
      </c>
      <c r="AL20" s="24">
        <f t="shared" si="16"/>
        <v>370</v>
      </c>
      <c r="AO20" s="28" t="s">
        <v>112</v>
      </c>
      <c r="AP20" s="24">
        <v>2</v>
      </c>
      <c r="AQ20" s="24">
        <v>5</v>
      </c>
      <c r="AR20" s="28">
        <f t="shared" si="17"/>
        <v>2.5</v>
      </c>
      <c r="AS20" s="28">
        <f t="shared" si="18"/>
        <v>2500</v>
      </c>
      <c r="AU20" s="28" t="s">
        <v>113</v>
      </c>
      <c r="AV20" s="24">
        <v>0.37</v>
      </c>
      <c r="AW20" s="24">
        <v>0.82</v>
      </c>
      <c r="AX20" s="24">
        <v>1.18</v>
      </c>
      <c r="AY20" s="24">
        <v>0.7</v>
      </c>
      <c r="AZ20" s="24">
        <v>0.95</v>
      </c>
      <c r="BA20" s="28" t="s">
        <v>114</v>
      </c>
      <c r="BC20" s="28">
        <f t="shared" si="19"/>
        <v>370</v>
      </c>
      <c r="BE20" s="24" t="s">
        <v>115</v>
      </c>
      <c r="BF20" s="24">
        <v>51</v>
      </c>
      <c r="BG20" s="24">
        <v>103</v>
      </c>
      <c r="BH20" s="24" t="s">
        <v>50</v>
      </c>
      <c r="BI20" s="24">
        <v>140</v>
      </c>
      <c r="BK20" s="24" t="s">
        <v>113</v>
      </c>
      <c r="BL20" s="24">
        <v>113</v>
      </c>
      <c r="BM20" s="24" t="s">
        <v>116</v>
      </c>
    </row>
    <row r="21" spans="1:65" s="24" customFormat="1" ht="15" customHeight="1" x14ac:dyDescent="0.25">
      <c r="A21" s="29" t="s">
        <v>117</v>
      </c>
      <c r="B21" s="24">
        <v>97</v>
      </c>
      <c r="C21" s="25">
        <f t="shared" si="0"/>
        <v>2.9986305223490717E-2</v>
      </c>
      <c r="D21" s="24">
        <v>160</v>
      </c>
      <c r="E21" s="25">
        <f t="shared" si="1"/>
        <v>4.9461946760397058E-2</v>
      </c>
      <c r="F21" s="30">
        <v>241.4</v>
      </c>
      <c r="G21" s="25">
        <f t="shared" si="2"/>
        <v>7.4625712174749059E-2</v>
      </c>
      <c r="H21" s="30">
        <v>331</v>
      </c>
      <c r="I21" s="25">
        <f t="shared" si="3"/>
        <v>0.10232440236057141</v>
      </c>
      <c r="J21" s="24">
        <f t="shared" si="4"/>
        <v>159.80000000000001</v>
      </c>
      <c r="K21" s="25">
        <f t="shared" si="5"/>
        <v>4.9400119326946559E-2</v>
      </c>
      <c r="L21" s="24">
        <v>940</v>
      </c>
      <c r="M21" s="24">
        <f t="shared" si="6"/>
        <v>516.79999999999995</v>
      </c>
      <c r="N21" s="25">
        <f t="shared" si="7"/>
        <v>0.15976208803608247</v>
      </c>
      <c r="O21" s="24">
        <v>3800</v>
      </c>
      <c r="P21" s="27">
        <v>323.48099999999999</v>
      </c>
      <c r="Q21" s="27">
        <f t="shared" si="8"/>
        <v>2.2217721180961503</v>
      </c>
      <c r="R21" s="24">
        <f t="shared" si="9"/>
        <v>1506</v>
      </c>
      <c r="S21" s="27">
        <f t="shared" si="10"/>
        <v>4.6556057388223726</v>
      </c>
      <c r="T21" s="31">
        <f>F21</f>
        <v>241.4</v>
      </c>
      <c r="U21" s="27">
        <f t="shared" si="11"/>
        <v>745.64670295751466</v>
      </c>
      <c r="V21" s="27">
        <f t="shared" si="12"/>
        <v>0.2305071095234387</v>
      </c>
      <c r="W21" s="27">
        <f t="shared" si="20"/>
        <v>0.23</v>
      </c>
      <c r="Y21" s="27">
        <f t="shared" si="13"/>
        <v>-533.22530834307611</v>
      </c>
      <c r="Z21" s="27">
        <f t="shared" si="14"/>
        <v>-0.16483976132850958</v>
      </c>
      <c r="AC21" s="24">
        <v>602.4</v>
      </c>
      <c r="AH21" s="24" t="s">
        <v>118</v>
      </c>
      <c r="AI21" s="24">
        <v>0</v>
      </c>
      <c r="AJ21" s="24">
        <v>94</v>
      </c>
      <c r="AK21" s="24">
        <f t="shared" si="15"/>
        <v>0.94</v>
      </c>
      <c r="AL21" s="24">
        <f t="shared" si="16"/>
        <v>940</v>
      </c>
      <c r="AO21" s="28" t="s">
        <v>119</v>
      </c>
      <c r="AP21" s="24">
        <v>3</v>
      </c>
      <c r="AQ21" s="24">
        <v>8</v>
      </c>
      <c r="AR21" s="28">
        <f t="shared" si="17"/>
        <v>3.8</v>
      </c>
      <c r="AS21" s="28">
        <f t="shared" si="18"/>
        <v>3800</v>
      </c>
      <c r="AT21" s="28" t="s">
        <v>120</v>
      </c>
      <c r="AU21" s="28" t="s">
        <v>118</v>
      </c>
      <c r="AV21" s="24">
        <v>0.94</v>
      </c>
      <c r="AW21" s="24">
        <v>2.1</v>
      </c>
      <c r="AX21" s="24">
        <v>2.33</v>
      </c>
      <c r="AY21" s="24">
        <v>0.9</v>
      </c>
      <c r="AZ21" s="24">
        <v>1.22</v>
      </c>
      <c r="BA21" s="28" t="s">
        <v>121</v>
      </c>
      <c r="BC21" s="28">
        <f t="shared" si="19"/>
        <v>940</v>
      </c>
      <c r="BE21" s="24" t="s">
        <v>122</v>
      </c>
      <c r="BF21" s="24">
        <v>72</v>
      </c>
      <c r="BG21" s="24">
        <v>71</v>
      </c>
      <c r="BH21" s="24" t="s">
        <v>50</v>
      </c>
      <c r="BI21" s="24">
        <v>97</v>
      </c>
      <c r="BK21" s="24" t="s">
        <v>118</v>
      </c>
      <c r="BL21" s="24">
        <v>160</v>
      </c>
      <c r="BM21" s="24" t="s">
        <v>123</v>
      </c>
    </row>
    <row r="22" spans="1:65" s="24" customFormat="1" ht="15" customHeight="1" x14ac:dyDescent="0.25">
      <c r="A22" s="23" t="s">
        <v>124</v>
      </c>
      <c r="B22" s="24">
        <v>467</v>
      </c>
      <c r="C22" s="25">
        <f t="shared" si="0"/>
        <v>2.5744495529167903E-2</v>
      </c>
      <c r="D22" s="24">
        <v>891</v>
      </c>
      <c r="E22" s="25">
        <f t="shared" si="1"/>
        <v>4.9118512883273249E-2</v>
      </c>
      <c r="F22" s="26">
        <v>544.5</v>
      </c>
      <c r="G22" s="25">
        <f t="shared" si="2"/>
        <v>3.0016868984222539E-2</v>
      </c>
      <c r="H22" s="26">
        <v>2618</v>
      </c>
      <c r="I22" s="25">
        <f t="shared" si="3"/>
        <v>0.14432353168171647</v>
      </c>
      <c r="J22" s="24">
        <f t="shared" si="4"/>
        <v>1208.7</v>
      </c>
      <c r="K22" s="25">
        <f t="shared" si="5"/>
        <v>6.6632487679026228E-2</v>
      </c>
      <c r="L22" s="24">
        <v>7110</v>
      </c>
      <c r="M22" s="24">
        <f t="shared" si="6"/>
        <v>7684</v>
      </c>
      <c r="N22" s="25">
        <f t="shared" si="7"/>
        <v>0.4235989371437392</v>
      </c>
      <c r="O22" s="24">
        <v>56500</v>
      </c>
      <c r="P22" s="27">
        <v>1813.98</v>
      </c>
      <c r="Q22" s="27">
        <f t="shared" si="8"/>
        <v>12.459001260612075</v>
      </c>
      <c r="R22" s="24">
        <f t="shared" si="9"/>
        <v>13413.2</v>
      </c>
      <c r="S22" s="27">
        <f t="shared" si="10"/>
        <v>7.3943483390114562</v>
      </c>
      <c r="T22" s="24">
        <f>B22+F22</f>
        <v>1011.5</v>
      </c>
      <c r="U22" s="27">
        <f t="shared" si="11"/>
        <v>4523.5483590407857</v>
      </c>
      <c r="V22" s="27">
        <f t="shared" si="12"/>
        <v>0.24937145718479728</v>
      </c>
      <c r="W22" s="27">
        <f t="shared" si="20"/>
        <v>0.25</v>
      </c>
      <c r="Y22" s="27">
        <f t="shared" si="13"/>
        <v>-2990.1603025468976</v>
      </c>
      <c r="Z22" s="27">
        <f t="shared" si="14"/>
        <v>-0.16483976132850955</v>
      </c>
      <c r="AC22" s="24">
        <v>2258</v>
      </c>
      <c r="AH22" s="24" t="s">
        <v>125</v>
      </c>
      <c r="AI22" s="24">
        <v>7</v>
      </c>
      <c r="AJ22" s="24">
        <v>11</v>
      </c>
      <c r="AK22" s="24">
        <f t="shared" si="15"/>
        <v>7.11</v>
      </c>
      <c r="AL22" s="24">
        <f t="shared" si="16"/>
        <v>7110</v>
      </c>
      <c r="AO22" s="28" t="s">
        <v>126</v>
      </c>
      <c r="AP22" s="24">
        <v>56</v>
      </c>
      <c r="AQ22" s="24">
        <v>5</v>
      </c>
      <c r="AR22" s="28">
        <f t="shared" si="17"/>
        <v>56.5</v>
      </c>
      <c r="AS22" s="28">
        <f t="shared" si="18"/>
        <v>56500</v>
      </c>
      <c r="AU22" s="28" t="s">
        <v>125</v>
      </c>
      <c r="AV22" s="24">
        <v>7.11</v>
      </c>
      <c r="AW22" s="24">
        <v>15.81</v>
      </c>
      <c r="AX22" s="24">
        <v>12.06</v>
      </c>
      <c r="AY22" s="24">
        <v>1.31</v>
      </c>
      <c r="AZ22" s="24">
        <v>1.78</v>
      </c>
      <c r="BA22" s="28" t="s">
        <v>127</v>
      </c>
      <c r="BC22" s="28">
        <f t="shared" si="19"/>
        <v>7110</v>
      </c>
      <c r="BE22" s="24" t="s">
        <v>128</v>
      </c>
      <c r="BF22" s="24">
        <v>400</v>
      </c>
      <c r="BG22" s="24">
        <v>343</v>
      </c>
      <c r="BH22" s="24" t="s">
        <v>129</v>
      </c>
      <c r="BI22" s="24">
        <v>467</v>
      </c>
      <c r="BK22" s="24" t="s">
        <v>125</v>
      </c>
      <c r="BL22" s="24">
        <v>891</v>
      </c>
      <c r="BM22" s="24" t="s">
        <v>130</v>
      </c>
    </row>
    <row r="23" spans="1:65" s="24" customFormat="1" ht="15" customHeight="1" x14ac:dyDescent="0.25">
      <c r="A23" s="29" t="s">
        <v>131</v>
      </c>
      <c r="B23" s="24">
        <v>27</v>
      </c>
      <c r="C23" s="25">
        <f t="shared" si="0"/>
        <v>8.1632653061224483E-2</v>
      </c>
      <c r="D23" s="24">
        <v>20</v>
      </c>
      <c r="E23" s="25">
        <f t="shared" si="1"/>
        <v>6.046863189720332E-2</v>
      </c>
      <c r="F23" s="30">
        <v>0</v>
      </c>
      <c r="G23" s="25">
        <f t="shared" si="2"/>
        <v>0</v>
      </c>
      <c r="H23" s="30">
        <v>20</v>
      </c>
      <c r="I23" s="25">
        <f t="shared" si="3"/>
        <v>6.046863189720332E-2</v>
      </c>
      <c r="J23" s="24">
        <f t="shared" si="4"/>
        <v>30.6</v>
      </c>
      <c r="K23" s="25">
        <f t="shared" si="5"/>
        <v>9.2517006802721083E-2</v>
      </c>
      <c r="L23" s="24">
        <v>180</v>
      </c>
      <c r="M23" s="24">
        <f t="shared" si="6"/>
        <v>68</v>
      </c>
      <c r="N23" s="25">
        <f t="shared" si="7"/>
        <v>0.20559334845049132</v>
      </c>
      <c r="O23" s="24">
        <v>500</v>
      </c>
      <c r="P23" s="27">
        <v>33.075000000000003</v>
      </c>
      <c r="Q23" s="27">
        <f t="shared" si="8"/>
        <v>0.2271697960808523</v>
      </c>
      <c r="R23" s="24">
        <f t="shared" si="9"/>
        <v>165.6</v>
      </c>
      <c r="S23" s="27">
        <f t="shared" si="10"/>
        <v>5.0068027210884347</v>
      </c>
      <c r="U23" s="27">
        <f t="shared" si="11"/>
        <v>100.92268077667561</v>
      </c>
      <c r="V23" s="27">
        <f t="shared" si="12"/>
        <v>0.30513282169818778</v>
      </c>
      <c r="W23" s="27">
        <f t="shared" si="20"/>
        <v>0.31</v>
      </c>
      <c r="Y23" s="27">
        <f t="shared" si="13"/>
        <v>-54.520751059404553</v>
      </c>
      <c r="Z23" s="27">
        <f t="shared" si="14"/>
        <v>-0.16483976132850958</v>
      </c>
      <c r="AC23" s="24">
        <v>43</v>
      </c>
      <c r="AH23" s="24" t="s">
        <v>132</v>
      </c>
      <c r="AI23" s="24">
        <v>0</v>
      </c>
      <c r="AJ23" s="24">
        <v>18</v>
      </c>
      <c r="AK23" s="24">
        <f t="shared" si="15"/>
        <v>0.18</v>
      </c>
      <c r="AL23" s="24">
        <f t="shared" si="16"/>
        <v>180</v>
      </c>
      <c r="AO23" s="28" t="s">
        <v>131</v>
      </c>
      <c r="AP23" s="24">
        <v>0</v>
      </c>
      <c r="AQ23" s="24">
        <v>5</v>
      </c>
      <c r="AR23" s="28">
        <f t="shared" si="17"/>
        <v>0.5</v>
      </c>
      <c r="AS23" s="28">
        <f t="shared" si="18"/>
        <v>500</v>
      </c>
      <c r="AU23" s="28" t="s">
        <v>132</v>
      </c>
      <c r="AV23" s="24">
        <v>0.18</v>
      </c>
      <c r="AW23" s="24">
        <v>0.4</v>
      </c>
      <c r="AX23" s="24">
        <v>0.24</v>
      </c>
      <c r="AY23" s="24">
        <v>1.67</v>
      </c>
      <c r="AZ23" s="24">
        <v>2.2599999999999998</v>
      </c>
      <c r="BA23" s="28" t="s">
        <v>133</v>
      </c>
      <c r="BC23" s="28">
        <f t="shared" si="19"/>
        <v>180</v>
      </c>
      <c r="BE23" s="24" t="s">
        <v>134</v>
      </c>
      <c r="BF23" s="24">
        <v>9</v>
      </c>
      <c r="BG23" s="24">
        <v>20</v>
      </c>
      <c r="BH23" s="24" t="s">
        <v>50</v>
      </c>
      <c r="BI23" s="24">
        <v>27</v>
      </c>
      <c r="BK23" s="24" t="s">
        <v>132</v>
      </c>
      <c r="BL23" s="24">
        <v>20</v>
      </c>
      <c r="BM23" s="24" t="s">
        <v>130</v>
      </c>
    </row>
    <row r="24" spans="1:65" s="24" customFormat="1" ht="15" customHeight="1" x14ac:dyDescent="0.25">
      <c r="A24" s="23" t="s">
        <v>135</v>
      </c>
      <c r="B24" s="24">
        <v>41</v>
      </c>
      <c r="C24" s="25">
        <f t="shared" si="0"/>
        <v>7.5903436018957354E-2</v>
      </c>
      <c r="D24" s="24">
        <v>24</v>
      </c>
      <c r="E24" s="25">
        <f t="shared" si="1"/>
        <v>4.4431279620853081E-2</v>
      </c>
      <c r="F24" s="26">
        <v>0.1</v>
      </c>
      <c r="G24" s="25">
        <f t="shared" si="2"/>
        <v>1.8513033175355452E-4</v>
      </c>
      <c r="H24" s="26">
        <v>31</v>
      </c>
      <c r="I24" s="25">
        <f t="shared" si="3"/>
        <v>5.7390402843601897E-2</v>
      </c>
      <c r="J24" s="24">
        <f t="shared" si="4"/>
        <v>23.8</v>
      </c>
      <c r="K24" s="25">
        <f t="shared" si="5"/>
        <v>4.4061018957345974E-2</v>
      </c>
      <c r="L24" s="24">
        <v>140</v>
      </c>
      <c r="M24" s="24">
        <f t="shared" si="6"/>
        <v>108.8</v>
      </c>
      <c r="N24" s="25">
        <f t="shared" si="7"/>
        <v>0.2014218009478673</v>
      </c>
      <c r="O24" s="24">
        <v>800</v>
      </c>
      <c r="P24" s="27">
        <v>54.015999999999998</v>
      </c>
      <c r="Q24" s="27">
        <f t="shared" si="8"/>
        <v>0.37099935616336555</v>
      </c>
      <c r="R24" s="24">
        <f t="shared" si="9"/>
        <v>228.7</v>
      </c>
      <c r="S24" s="27">
        <f t="shared" si="10"/>
        <v>4.2339306872037916</v>
      </c>
      <c r="U24" s="27">
        <f t="shared" si="11"/>
        <v>164.8205449684931</v>
      </c>
      <c r="V24" s="27">
        <f t="shared" si="12"/>
        <v>0.30513282169818778</v>
      </c>
      <c r="W24" s="27">
        <f t="shared" si="20"/>
        <v>0.31</v>
      </c>
      <c r="Y24" s="27">
        <f t="shared" si="13"/>
        <v>-89.039845479207727</v>
      </c>
      <c r="Z24" s="27">
        <f t="shared" si="14"/>
        <v>-0.16483976132850958</v>
      </c>
      <c r="AC24" s="24">
        <v>84.3</v>
      </c>
      <c r="AH24" s="24" t="s">
        <v>136</v>
      </c>
      <c r="AI24" s="24">
        <v>0</v>
      </c>
      <c r="AJ24" s="24">
        <v>14</v>
      </c>
      <c r="AK24" s="24">
        <f t="shared" si="15"/>
        <v>0.14000000000000001</v>
      </c>
      <c r="AL24" s="24">
        <f t="shared" si="16"/>
        <v>140</v>
      </c>
      <c r="AO24" s="28" t="s">
        <v>135</v>
      </c>
      <c r="AP24" s="24">
        <v>0</v>
      </c>
      <c r="AQ24" s="24">
        <v>8</v>
      </c>
      <c r="AR24" s="28">
        <f t="shared" si="17"/>
        <v>0.8</v>
      </c>
      <c r="AS24" s="28">
        <f t="shared" si="18"/>
        <v>800</v>
      </c>
      <c r="AU24" s="28" t="s">
        <v>136</v>
      </c>
      <c r="AV24" s="24">
        <v>0.14000000000000001</v>
      </c>
      <c r="AW24" s="24">
        <v>0.31</v>
      </c>
      <c r="AX24" s="24">
        <v>0.42</v>
      </c>
      <c r="AY24" s="24">
        <v>0.74</v>
      </c>
      <c r="AZ24" s="24">
        <v>1</v>
      </c>
      <c r="BA24" s="28" t="s">
        <v>137</v>
      </c>
      <c r="BC24" s="28">
        <f t="shared" si="19"/>
        <v>140</v>
      </c>
      <c r="BE24" s="24" t="s">
        <v>138</v>
      </c>
      <c r="BF24" s="24">
        <v>11</v>
      </c>
      <c r="BG24" s="24">
        <v>30</v>
      </c>
      <c r="BH24" s="24" t="s">
        <v>50</v>
      </c>
      <c r="BI24" s="24">
        <v>41</v>
      </c>
      <c r="BK24" s="24" t="s">
        <v>136</v>
      </c>
      <c r="BL24" s="24">
        <v>24</v>
      </c>
      <c r="BM24" s="24" t="s">
        <v>139</v>
      </c>
    </row>
    <row r="25" spans="1:65" s="24" customFormat="1" ht="15" customHeight="1" x14ac:dyDescent="0.25">
      <c r="A25" s="29" t="s">
        <v>140</v>
      </c>
      <c r="B25" s="24">
        <v>10</v>
      </c>
      <c r="C25" s="25">
        <f t="shared" si="0"/>
        <v>1.9813750743015654E-2</v>
      </c>
      <c r="D25" s="24">
        <v>32</v>
      </c>
      <c r="E25" s="25">
        <f t="shared" si="1"/>
        <v>6.3404002377650093E-2</v>
      </c>
      <c r="F25" s="30">
        <v>0</v>
      </c>
      <c r="G25" s="25">
        <f t="shared" si="2"/>
        <v>0</v>
      </c>
      <c r="H25" s="30">
        <v>208</v>
      </c>
      <c r="I25" s="25">
        <f t="shared" si="3"/>
        <v>0.4121260154547256</v>
      </c>
      <c r="J25" s="24">
        <f t="shared" si="4"/>
        <v>35.700000000000003</v>
      </c>
      <c r="K25" s="25">
        <f t="shared" si="5"/>
        <v>7.0735090152565877E-2</v>
      </c>
      <c r="L25" s="24">
        <v>210</v>
      </c>
      <c r="M25" s="24">
        <f t="shared" si="6"/>
        <v>244.8</v>
      </c>
      <c r="N25" s="25">
        <f t="shared" si="7"/>
        <v>0.48504061818902322</v>
      </c>
      <c r="O25" s="24">
        <v>1800</v>
      </c>
      <c r="P25" s="27">
        <v>50.47</v>
      </c>
      <c r="Q25" s="27">
        <f t="shared" si="8"/>
        <v>0.34664428142707826</v>
      </c>
      <c r="R25" s="24">
        <f t="shared" si="9"/>
        <v>530.5</v>
      </c>
      <c r="S25" s="27">
        <f t="shared" si="10"/>
        <v>10.511194769169805</v>
      </c>
      <c r="U25" s="27">
        <f t="shared" si="11"/>
        <v>154.00053511107532</v>
      </c>
      <c r="V25" s="27">
        <f t="shared" si="12"/>
        <v>0.30513282169818767</v>
      </c>
      <c r="W25" s="27">
        <f t="shared" si="20"/>
        <v>0.31</v>
      </c>
      <c r="Y25" s="27">
        <f t="shared" si="13"/>
        <v>-83.194627542498779</v>
      </c>
      <c r="Z25" s="27">
        <f t="shared" si="14"/>
        <v>-0.16483976132850958</v>
      </c>
      <c r="AC25" s="24">
        <v>89.5</v>
      </c>
      <c r="AH25" s="24" t="s">
        <v>141</v>
      </c>
      <c r="AI25" s="24">
        <v>0</v>
      </c>
      <c r="AJ25" s="24">
        <v>21</v>
      </c>
      <c r="AK25" s="24">
        <f t="shared" si="15"/>
        <v>0.21</v>
      </c>
      <c r="AL25" s="24">
        <f t="shared" si="16"/>
        <v>210</v>
      </c>
      <c r="AO25" s="28" t="s">
        <v>140</v>
      </c>
      <c r="AP25" s="24">
        <v>1</v>
      </c>
      <c r="AQ25" s="24">
        <v>8</v>
      </c>
      <c r="AR25" s="28">
        <f t="shared" si="17"/>
        <v>1.8</v>
      </c>
      <c r="AS25" s="28">
        <f t="shared" si="18"/>
        <v>1800</v>
      </c>
      <c r="AU25" s="28" t="s">
        <v>141</v>
      </c>
      <c r="AV25" s="24">
        <v>0.21</v>
      </c>
      <c r="AW25" s="24">
        <v>0.46</v>
      </c>
      <c r="AX25" s="24">
        <v>0.31</v>
      </c>
      <c r="AY25" s="24">
        <v>1.48</v>
      </c>
      <c r="AZ25" s="24">
        <v>2.0099999999999998</v>
      </c>
      <c r="BA25" s="28" t="s">
        <v>142</v>
      </c>
      <c r="BC25" s="28">
        <f t="shared" si="19"/>
        <v>210</v>
      </c>
      <c r="BE25" s="24" t="s">
        <v>143</v>
      </c>
      <c r="BF25" s="24" t="s">
        <v>66</v>
      </c>
      <c r="BG25" s="24">
        <v>7</v>
      </c>
      <c r="BH25" s="24" t="s">
        <v>50</v>
      </c>
      <c r="BI25" s="24">
        <v>10</v>
      </c>
      <c r="BK25" s="24" t="s">
        <v>144</v>
      </c>
      <c r="BL25" s="24">
        <v>32</v>
      </c>
      <c r="BM25" s="24" t="s">
        <v>145</v>
      </c>
    </row>
    <row r="26" spans="1:65" s="24" customFormat="1" ht="15" customHeight="1" x14ac:dyDescent="0.25">
      <c r="A26" s="23" t="s">
        <v>146</v>
      </c>
      <c r="B26" s="24">
        <v>7</v>
      </c>
      <c r="C26" s="25">
        <f t="shared" si="0"/>
        <v>5.1053898329808181E-2</v>
      </c>
      <c r="D26" s="24">
        <v>10</v>
      </c>
      <c r="E26" s="25">
        <f t="shared" si="1"/>
        <v>7.293414047115454E-2</v>
      </c>
      <c r="F26" s="26">
        <v>0</v>
      </c>
      <c r="G26" s="25">
        <f t="shared" si="2"/>
        <v>0</v>
      </c>
      <c r="H26" s="26">
        <v>9</v>
      </c>
      <c r="I26" s="25">
        <f t="shared" si="3"/>
        <v>6.5640726424039092E-2</v>
      </c>
      <c r="J26" s="24">
        <f t="shared" si="4"/>
        <v>45.9</v>
      </c>
      <c r="K26" s="25">
        <f t="shared" si="5"/>
        <v>0.33476770476259932</v>
      </c>
      <c r="L26" s="24">
        <v>270</v>
      </c>
      <c r="M26" s="24">
        <f t="shared" si="6"/>
        <v>122.4</v>
      </c>
      <c r="N26" s="25">
        <f t="shared" si="7"/>
        <v>0.89271387936693158</v>
      </c>
      <c r="O26" s="24">
        <v>900</v>
      </c>
      <c r="P26" s="27">
        <v>13.711</v>
      </c>
      <c r="Q26" s="27">
        <f t="shared" si="8"/>
        <v>9.4171581982299801E-2</v>
      </c>
      <c r="R26" s="24">
        <f t="shared" si="9"/>
        <v>194.3</v>
      </c>
      <c r="S26" s="27">
        <f t="shared" si="10"/>
        <v>14.171103493545329</v>
      </c>
      <c r="U26" s="27">
        <f t="shared" si="11"/>
        <v>41.836761183038526</v>
      </c>
      <c r="V26" s="27">
        <f t="shared" si="12"/>
        <v>0.30513282169818778</v>
      </c>
      <c r="W26" s="27">
        <f t="shared" si="20"/>
        <v>0.31</v>
      </c>
      <c r="Y26" s="27">
        <f t="shared" si="13"/>
        <v>-22.601179675751951</v>
      </c>
      <c r="Z26" s="27">
        <f t="shared" si="14"/>
        <v>-0.16483976132850958</v>
      </c>
      <c r="AC26" s="24">
        <v>24.6</v>
      </c>
      <c r="AH26" s="24" t="s">
        <v>147</v>
      </c>
      <c r="AI26" s="24">
        <v>0</v>
      </c>
      <c r="AJ26" s="24">
        <v>27</v>
      </c>
      <c r="AK26" s="24">
        <f t="shared" si="15"/>
        <v>0.27</v>
      </c>
      <c r="AL26" s="24">
        <f t="shared" si="16"/>
        <v>270</v>
      </c>
      <c r="AO26" s="28" t="s">
        <v>146</v>
      </c>
      <c r="AP26" s="24">
        <v>0</v>
      </c>
      <c r="AQ26" s="24">
        <v>9</v>
      </c>
      <c r="AR26" s="28">
        <f t="shared" si="17"/>
        <v>0.9</v>
      </c>
      <c r="AS26" s="28">
        <f t="shared" si="18"/>
        <v>900</v>
      </c>
      <c r="AU26" s="28" t="s">
        <v>147</v>
      </c>
      <c r="AV26" s="24">
        <v>0.27</v>
      </c>
      <c r="AW26" s="24">
        <v>0.61</v>
      </c>
      <c r="AX26" s="24">
        <v>0.11</v>
      </c>
      <c r="AY26" s="24">
        <v>5.6</v>
      </c>
      <c r="AZ26" s="24">
        <v>7.59</v>
      </c>
      <c r="BA26" s="28" t="s">
        <v>148</v>
      </c>
      <c r="BC26" s="28">
        <f t="shared" si="19"/>
        <v>270</v>
      </c>
      <c r="BE26" s="24" t="s">
        <v>149</v>
      </c>
      <c r="BF26" s="24" t="s">
        <v>66</v>
      </c>
      <c r="BG26" s="24">
        <v>5</v>
      </c>
      <c r="BH26" s="24" t="s">
        <v>50</v>
      </c>
      <c r="BI26" s="24">
        <v>7</v>
      </c>
      <c r="BK26" s="24" t="s">
        <v>150</v>
      </c>
      <c r="BL26" s="24">
        <v>10</v>
      </c>
      <c r="BM26" s="24" t="s">
        <v>151</v>
      </c>
    </row>
    <row r="27" spans="1:65" s="24" customFormat="1" ht="15" customHeight="1" x14ac:dyDescent="0.25">
      <c r="A27" s="29" t="s">
        <v>152</v>
      </c>
      <c r="B27" s="24">
        <v>333</v>
      </c>
      <c r="C27" s="25">
        <f t="shared" si="0"/>
        <v>3.9777532502902682E-2</v>
      </c>
      <c r="D27" s="24">
        <v>652</v>
      </c>
      <c r="E27" s="25">
        <f t="shared" si="1"/>
        <v>7.7882736311989637E-2</v>
      </c>
      <c r="F27" s="30">
        <v>1961</v>
      </c>
      <c r="G27" s="25">
        <f t="shared" si="2"/>
        <v>0.23424546918376027</v>
      </c>
      <c r="H27" s="30">
        <v>913</v>
      </c>
      <c r="I27" s="25">
        <f t="shared" si="3"/>
        <v>0.10905972124669716</v>
      </c>
      <c r="J27" s="24">
        <f t="shared" si="4"/>
        <v>336.6</v>
      </c>
      <c r="K27" s="25">
        <f t="shared" si="5"/>
        <v>4.020755988131245E-2</v>
      </c>
      <c r="L27" s="24">
        <v>1980</v>
      </c>
      <c r="M27" s="24">
        <f t="shared" si="6"/>
        <v>1496</v>
      </c>
      <c r="N27" s="25">
        <f t="shared" si="7"/>
        <v>0.17870026613916642</v>
      </c>
      <c r="O27" s="24">
        <v>11000</v>
      </c>
      <c r="P27" s="27">
        <v>837.15599999999995</v>
      </c>
      <c r="Q27" s="27">
        <f t="shared" si="8"/>
        <v>5.7498581347804061</v>
      </c>
      <c r="R27" s="24">
        <f t="shared" si="9"/>
        <v>5691.6</v>
      </c>
      <c r="S27" s="27">
        <f t="shared" si="10"/>
        <v>6.7987328526582864</v>
      </c>
      <c r="U27" s="27">
        <f t="shared" si="11"/>
        <v>2554.4377248156802</v>
      </c>
      <c r="V27" s="27">
        <f t="shared" si="12"/>
        <v>0.30513282169818773</v>
      </c>
      <c r="W27" s="27">
        <f t="shared" si="20"/>
        <v>0.31</v>
      </c>
      <c r="Y27" s="27">
        <f t="shared" si="13"/>
        <v>-1379.9659523472974</v>
      </c>
      <c r="Z27" s="27">
        <f t="shared" si="14"/>
        <v>-0.16483976132850955</v>
      </c>
      <c r="AC27" s="24">
        <v>1170.5999999999999</v>
      </c>
      <c r="AH27" s="24" t="s">
        <v>153</v>
      </c>
      <c r="AI27" s="24">
        <v>1</v>
      </c>
      <c r="AJ27" s="24">
        <v>98</v>
      </c>
      <c r="AK27" s="24">
        <f t="shared" si="15"/>
        <v>1.98</v>
      </c>
      <c r="AL27" s="24">
        <f t="shared" si="16"/>
        <v>1980</v>
      </c>
      <c r="AO27" s="28" t="s">
        <v>154</v>
      </c>
      <c r="AP27" s="24">
        <v>11</v>
      </c>
      <c r="AQ27" s="24">
        <v>0</v>
      </c>
      <c r="AR27" s="28">
        <f t="shared" si="17"/>
        <v>11</v>
      </c>
      <c r="AS27" s="28">
        <f t="shared" si="18"/>
        <v>11000</v>
      </c>
      <c r="AU27" s="28" t="s">
        <v>153</v>
      </c>
      <c r="AV27" s="24">
        <v>1.98</v>
      </c>
      <c r="AW27" s="24">
        <v>4.4000000000000004</v>
      </c>
      <c r="AX27" s="24">
        <v>6.06</v>
      </c>
      <c r="AY27" s="24">
        <v>0.73</v>
      </c>
      <c r="AZ27" s="24">
        <v>0.99</v>
      </c>
      <c r="BA27" s="28" t="s">
        <v>155</v>
      </c>
      <c r="BC27" s="28">
        <f t="shared" si="19"/>
        <v>1980</v>
      </c>
      <c r="BE27" s="24" t="s">
        <v>156</v>
      </c>
      <c r="BF27" s="24">
        <v>293</v>
      </c>
      <c r="BG27" s="24">
        <v>245</v>
      </c>
      <c r="BH27" s="24" t="s">
        <v>50</v>
      </c>
      <c r="BI27" s="24">
        <v>333</v>
      </c>
      <c r="BK27" s="24" t="s">
        <v>153</v>
      </c>
      <c r="BL27" s="24">
        <v>652</v>
      </c>
      <c r="BM27" s="24" t="s">
        <v>105</v>
      </c>
    </row>
    <row r="28" spans="1:65" s="24" customFormat="1" ht="15" customHeight="1" x14ac:dyDescent="0.25">
      <c r="A28" s="23" t="s">
        <v>157</v>
      </c>
      <c r="B28" s="24">
        <v>497</v>
      </c>
      <c r="C28" s="25">
        <f t="shared" si="0"/>
        <v>9.0708162457041386E-2</v>
      </c>
      <c r="D28" s="24">
        <v>427</v>
      </c>
      <c r="E28" s="25">
        <f t="shared" si="1"/>
        <v>7.7932364927880624E-2</v>
      </c>
      <c r="F28" s="26">
        <v>63</v>
      </c>
      <c r="G28" s="25">
        <f t="shared" si="2"/>
        <v>1.1498217776244683E-2</v>
      </c>
      <c r="H28" s="26">
        <v>560</v>
      </c>
      <c r="I28" s="25">
        <f t="shared" si="3"/>
        <v>0.10220638023328607</v>
      </c>
      <c r="J28" s="24">
        <f t="shared" si="4"/>
        <v>202.3</v>
      </c>
      <c r="K28" s="25">
        <f t="shared" si="5"/>
        <v>3.6922054859274592E-2</v>
      </c>
      <c r="L28" s="24">
        <v>1190</v>
      </c>
      <c r="M28" s="24">
        <f t="shared" si="6"/>
        <v>1088</v>
      </c>
      <c r="N28" s="25">
        <f t="shared" si="7"/>
        <v>0.19857239588181294</v>
      </c>
      <c r="O28" s="24">
        <v>8000</v>
      </c>
      <c r="P28" s="27">
        <v>547.91099999999994</v>
      </c>
      <c r="Q28" s="27">
        <f t="shared" si="8"/>
        <v>3.7632299362193748</v>
      </c>
      <c r="R28" s="24">
        <f t="shared" si="9"/>
        <v>2837.3</v>
      </c>
      <c r="S28" s="27">
        <f t="shared" si="10"/>
        <v>5.1783957613554037</v>
      </c>
      <c r="U28" s="27">
        <f t="shared" si="11"/>
        <v>1671.856294694757</v>
      </c>
      <c r="V28" s="27">
        <f t="shared" si="12"/>
        <v>0.30513282169818773</v>
      </c>
      <c r="W28" s="27">
        <f t="shared" si="20"/>
        <v>0.31</v>
      </c>
      <c r="Y28" s="27">
        <f t="shared" si="13"/>
        <v>-903.17518469264996</v>
      </c>
      <c r="Z28" s="27">
        <f t="shared" si="14"/>
        <v>-0.16483976132850958</v>
      </c>
      <c r="AC28" s="24">
        <v>922.9</v>
      </c>
      <c r="AH28" s="24" t="s">
        <v>158</v>
      </c>
      <c r="AI28" s="24">
        <v>1</v>
      </c>
      <c r="AJ28" s="24">
        <v>19</v>
      </c>
      <c r="AK28" s="24">
        <f t="shared" si="15"/>
        <v>1.19</v>
      </c>
      <c r="AL28" s="24">
        <f t="shared" si="16"/>
        <v>1190</v>
      </c>
      <c r="AO28" s="28" t="s">
        <v>159</v>
      </c>
      <c r="AP28" s="24">
        <v>8</v>
      </c>
      <c r="AQ28" s="24">
        <v>0</v>
      </c>
      <c r="AR28" s="28">
        <f t="shared" si="17"/>
        <v>8</v>
      </c>
      <c r="AS28" s="28">
        <f t="shared" si="18"/>
        <v>8000</v>
      </c>
      <c r="AU28" s="28" t="s">
        <v>158</v>
      </c>
      <c r="AV28" s="24">
        <v>1.19</v>
      </c>
      <c r="AW28" s="24">
        <v>2.65</v>
      </c>
      <c r="AX28" s="24">
        <v>4.7699999999999996</v>
      </c>
      <c r="AY28" s="24">
        <v>0.56000000000000005</v>
      </c>
      <c r="AZ28" s="24">
        <v>0.76</v>
      </c>
      <c r="BA28" s="28" t="s">
        <v>160</v>
      </c>
      <c r="BC28" s="28">
        <f t="shared" si="19"/>
        <v>1190</v>
      </c>
      <c r="BE28" s="24" t="s">
        <v>161</v>
      </c>
      <c r="BF28" s="24">
        <v>192</v>
      </c>
      <c r="BG28" s="24">
        <v>365</v>
      </c>
      <c r="BH28" s="24" t="s">
        <v>50</v>
      </c>
      <c r="BI28" s="24">
        <v>497</v>
      </c>
      <c r="BK28" s="24" t="s">
        <v>158</v>
      </c>
      <c r="BL28" s="24">
        <v>427</v>
      </c>
      <c r="BM28" s="24" t="s">
        <v>162</v>
      </c>
    </row>
    <row r="29" spans="1:65" s="24" customFormat="1" ht="15" customHeight="1" x14ac:dyDescent="0.25">
      <c r="A29" s="29" t="s">
        <v>163</v>
      </c>
      <c r="B29" s="24">
        <v>137</v>
      </c>
      <c r="C29" s="25">
        <f t="shared" si="0"/>
        <v>6.4660766961651919E-2</v>
      </c>
      <c r="D29" s="24">
        <v>84</v>
      </c>
      <c r="E29" s="25">
        <f t="shared" si="1"/>
        <v>3.9646017699115042E-2</v>
      </c>
      <c r="F29" s="30">
        <v>24.9</v>
      </c>
      <c r="G29" s="25">
        <f t="shared" si="2"/>
        <v>1.1752212389380529E-2</v>
      </c>
      <c r="H29" s="30">
        <v>330</v>
      </c>
      <c r="I29" s="25">
        <f t="shared" si="3"/>
        <v>0.15575221238938053</v>
      </c>
      <c r="J29" s="24">
        <f t="shared" si="4"/>
        <v>331.5</v>
      </c>
      <c r="K29" s="25">
        <f t="shared" si="5"/>
        <v>0.15646017699115045</v>
      </c>
      <c r="L29" s="24">
        <v>1950</v>
      </c>
      <c r="M29" s="24">
        <f t="shared" si="6"/>
        <v>870.4</v>
      </c>
      <c r="N29" s="25">
        <f t="shared" si="7"/>
        <v>0.41080825958702061</v>
      </c>
      <c r="O29" s="24">
        <v>6400</v>
      </c>
      <c r="P29" s="27">
        <v>211.875</v>
      </c>
      <c r="Q29" s="27">
        <f t="shared" si="8"/>
        <v>1.4552260179782486</v>
      </c>
      <c r="R29" s="24">
        <f t="shared" si="9"/>
        <v>1777.8</v>
      </c>
      <c r="S29" s="27">
        <f t="shared" si="10"/>
        <v>8.3907964601769915</v>
      </c>
      <c r="U29" s="27">
        <f t="shared" si="11"/>
        <v>646.50016597303522</v>
      </c>
      <c r="V29" s="27">
        <f t="shared" si="12"/>
        <v>0.30513282169818773</v>
      </c>
      <c r="W29" s="27">
        <f t="shared" si="20"/>
        <v>0.31</v>
      </c>
      <c r="Y29" s="27">
        <f t="shared" si="13"/>
        <v>-349.25424431477961</v>
      </c>
      <c r="Z29" s="27">
        <f t="shared" si="14"/>
        <v>-0.16483976132850955</v>
      </c>
      <c r="AC29" s="24">
        <v>306.8</v>
      </c>
      <c r="AH29" s="24" t="s">
        <v>164</v>
      </c>
      <c r="AI29" s="24">
        <v>1</v>
      </c>
      <c r="AJ29" s="24">
        <v>95</v>
      </c>
      <c r="AK29" s="24">
        <f t="shared" si="15"/>
        <v>1.95</v>
      </c>
      <c r="AL29" s="24">
        <f t="shared" si="16"/>
        <v>1950</v>
      </c>
      <c r="AO29" s="28" t="s">
        <v>165</v>
      </c>
      <c r="AP29" s="24">
        <v>6</v>
      </c>
      <c r="AQ29" s="24">
        <v>4</v>
      </c>
      <c r="AR29" s="28">
        <f t="shared" si="17"/>
        <v>6.4</v>
      </c>
      <c r="AS29" s="28">
        <f t="shared" si="18"/>
        <v>6400</v>
      </c>
      <c r="AU29" s="28" t="s">
        <v>164</v>
      </c>
      <c r="AV29" s="24">
        <v>1.95</v>
      </c>
      <c r="AW29" s="24">
        <v>4.33</v>
      </c>
      <c r="AX29" s="24">
        <v>1.55</v>
      </c>
      <c r="AY29" s="24">
        <v>2.8</v>
      </c>
      <c r="AZ29" s="24">
        <v>3.8</v>
      </c>
      <c r="BA29" s="28" t="s">
        <v>166</v>
      </c>
      <c r="BC29" s="28">
        <f t="shared" si="19"/>
        <v>1950</v>
      </c>
      <c r="BE29" s="24" t="s">
        <v>167</v>
      </c>
      <c r="BF29" s="24">
        <v>38</v>
      </c>
      <c r="BG29" s="24">
        <v>101</v>
      </c>
      <c r="BH29" s="24" t="s">
        <v>50</v>
      </c>
      <c r="BI29" s="24">
        <v>137</v>
      </c>
      <c r="BK29" s="24" t="s">
        <v>164</v>
      </c>
      <c r="BL29" s="24">
        <v>84</v>
      </c>
      <c r="BM29" s="24" t="s">
        <v>61</v>
      </c>
    </row>
    <row r="30" spans="1:65" s="24" customFormat="1" ht="15" customHeight="1" x14ac:dyDescent="0.25">
      <c r="A30" s="23" t="s">
        <v>168</v>
      </c>
      <c r="B30" s="24">
        <v>135</v>
      </c>
      <c r="C30" s="25">
        <f t="shared" si="0"/>
        <v>6.2699710188006241E-2</v>
      </c>
      <c r="D30" s="24">
        <v>30</v>
      </c>
      <c r="E30" s="25">
        <f t="shared" si="1"/>
        <v>1.3933268930668052E-2</v>
      </c>
      <c r="F30" s="26">
        <v>1.9</v>
      </c>
      <c r="G30" s="25">
        <f t="shared" si="2"/>
        <v>8.8244036560897676E-4</v>
      </c>
      <c r="H30" s="26">
        <v>121</v>
      </c>
      <c r="I30" s="25">
        <f t="shared" si="3"/>
        <v>5.6197518020361145E-2</v>
      </c>
      <c r="J30" s="24">
        <f t="shared" si="4"/>
        <v>105.4</v>
      </c>
      <c r="K30" s="25">
        <f t="shared" si="5"/>
        <v>4.8952218176413764E-2</v>
      </c>
      <c r="L30" s="24">
        <v>620</v>
      </c>
      <c r="M30" s="24">
        <f t="shared" si="6"/>
        <v>435.2</v>
      </c>
      <c r="N30" s="25">
        <f t="shared" si="7"/>
        <v>0.20212528795422452</v>
      </c>
      <c r="O30" s="24">
        <v>3200</v>
      </c>
      <c r="P30" s="27">
        <v>215.31200000000001</v>
      </c>
      <c r="Q30" s="27">
        <f t="shared" si="8"/>
        <v>1.4788324454651691</v>
      </c>
      <c r="R30" s="24">
        <f t="shared" si="9"/>
        <v>828.5</v>
      </c>
      <c r="S30" s="27">
        <f t="shared" si="10"/>
        <v>3.8479044363528274</v>
      </c>
      <c r="U30" s="27">
        <f t="shared" si="11"/>
        <v>656.98758105480204</v>
      </c>
      <c r="V30" s="27">
        <f t="shared" si="12"/>
        <v>0.30513282169818778</v>
      </c>
      <c r="W30" s="27">
        <f t="shared" si="20"/>
        <v>0.31</v>
      </c>
      <c r="Y30" s="27">
        <f t="shared" si="13"/>
        <v>-354.91978691164059</v>
      </c>
      <c r="Z30" s="27">
        <f t="shared" si="14"/>
        <v>-0.16483976132850958</v>
      </c>
      <c r="AC30" s="24">
        <v>380.1</v>
      </c>
      <c r="AH30" s="24" t="s">
        <v>169</v>
      </c>
      <c r="AI30" s="24">
        <v>0</v>
      </c>
      <c r="AJ30" s="24">
        <v>62</v>
      </c>
      <c r="AK30" s="24">
        <f t="shared" si="15"/>
        <v>0.62</v>
      </c>
      <c r="AL30" s="24">
        <f t="shared" si="16"/>
        <v>620</v>
      </c>
      <c r="AO30" s="28" t="s">
        <v>168</v>
      </c>
      <c r="AP30" s="24">
        <v>3</v>
      </c>
      <c r="AQ30" s="24">
        <v>2</v>
      </c>
      <c r="AR30" s="28">
        <f t="shared" si="17"/>
        <v>3.2</v>
      </c>
      <c r="AS30" s="28">
        <f t="shared" si="18"/>
        <v>3200</v>
      </c>
      <c r="AU30" s="28" t="s">
        <v>169</v>
      </c>
      <c r="AV30" s="24">
        <v>0.62</v>
      </c>
      <c r="AW30" s="24">
        <v>1.37</v>
      </c>
      <c r="AX30" s="24">
        <v>2.0299999999999998</v>
      </c>
      <c r="AY30" s="24">
        <v>0.68</v>
      </c>
      <c r="AZ30" s="24">
        <v>0.92</v>
      </c>
      <c r="BA30" s="28" t="s">
        <v>170</v>
      </c>
      <c r="BC30" s="28">
        <f t="shared" si="19"/>
        <v>620</v>
      </c>
      <c r="BE30" s="24" t="s">
        <v>171</v>
      </c>
      <c r="BF30" s="24">
        <v>13</v>
      </c>
      <c r="BG30" s="24">
        <v>99</v>
      </c>
      <c r="BH30" s="24" t="s">
        <v>50</v>
      </c>
      <c r="BI30" s="24">
        <v>135</v>
      </c>
      <c r="BK30" s="24" t="s">
        <v>169</v>
      </c>
      <c r="BL30" s="24">
        <v>30</v>
      </c>
      <c r="BM30" s="24" t="s">
        <v>172</v>
      </c>
    </row>
    <row r="31" spans="1:65" s="24" customFormat="1" ht="15" customHeight="1" x14ac:dyDescent="0.25">
      <c r="A31" s="29" t="s">
        <v>173</v>
      </c>
      <c r="B31" s="24">
        <v>76</v>
      </c>
      <c r="C31" s="25">
        <f t="shared" si="0"/>
        <v>7.8110546979382925E-2</v>
      </c>
      <c r="D31" s="24">
        <v>37</v>
      </c>
      <c r="E31" s="25">
        <f t="shared" si="1"/>
        <v>3.8027503134699582E-2</v>
      </c>
      <c r="F31" s="30">
        <v>0</v>
      </c>
      <c r="G31" s="25">
        <f t="shared" si="2"/>
        <v>0</v>
      </c>
      <c r="H31" s="30">
        <v>19</v>
      </c>
      <c r="I31" s="25">
        <f t="shared" si="3"/>
        <v>1.9527636744845731E-2</v>
      </c>
      <c r="J31" s="24">
        <f t="shared" si="4"/>
        <v>8.5</v>
      </c>
      <c r="K31" s="25">
        <f t="shared" si="5"/>
        <v>8.7360480174309852E-3</v>
      </c>
      <c r="L31" s="24">
        <v>50</v>
      </c>
      <c r="M31" s="24">
        <f t="shared" si="6"/>
        <v>176.8</v>
      </c>
      <c r="N31" s="25">
        <f t="shared" si="7"/>
        <v>0.18170979876256449</v>
      </c>
      <c r="O31" s="24">
        <v>1300</v>
      </c>
      <c r="P31" s="27">
        <v>97.298000000000002</v>
      </c>
      <c r="Q31" s="27">
        <f t="shared" si="8"/>
        <v>0.66827412907255512</v>
      </c>
      <c r="R31" s="24">
        <f t="shared" si="9"/>
        <v>317.3</v>
      </c>
      <c r="S31" s="27">
        <f t="shared" si="10"/>
        <v>3.2611153363892371</v>
      </c>
      <c r="U31" s="27">
        <f t="shared" si="11"/>
        <v>296.88813285590265</v>
      </c>
      <c r="V31" s="27">
        <f t="shared" si="12"/>
        <v>0.30513282169818767</v>
      </c>
      <c r="W31" s="27">
        <f t="shared" si="20"/>
        <v>0.31</v>
      </c>
      <c r="Y31" s="27">
        <f t="shared" si="13"/>
        <v>-160.38579097741322</v>
      </c>
      <c r="Z31" s="27">
        <f t="shared" si="14"/>
        <v>-0.16483976132850955</v>
      </c>
      <c r="AA31" s="32"/>
      <c r="AC31" s="24">
        <v>136.80000000000001</v>
      </c>
      <c r="AH31" s="24" t="s">
        <v>174</v>
      </c>
      <c r="AI31" s="24">
        <v>0</v>
      </c>
      <c r="AJ31" s="24">
        <v>40</v>
      </c>
      <c r="AK31" s="24">
        <f t="shared" si="15"/>
        <v>0.4</v>
      </c>
      <c r="AL31" s="24">
        <f t="shared" si="16"/>
        <v>400</v>
      </c>
      <c r="AO31" s="28" t="s">
        <v>173</v>
      </c>
      <c r="AP31" s="24">
        <v>1</v>
      </c>
      <c r="AQ31" s="24">
        <v>3</v>
      </c>
      <c r="AR31" s="28">
        <f t="shared" si="17"/>
        <v>1.3</v>
      </c>
      <c r="AS31" s="28">
        <f t="shared" si="18"/>
        <v>1300</v>
      </c>
      <c r="AU31" s="28" t="s">
        <v>174</v>
      </c>
      <c r="AV31" s="24">
        <v>0.05</v>
      </c>
      <c r="AW31" s="24">
        <v>0.1</v>
      </c>
      <c r="AX31" s="24">
        <v>0.73</v>
      </c>
      <c r="AY31" s="24">
        <v>0.14000000000000001</v>
      </c>
      <c r="AZ31" s="24">
        <v>0.19</v>
      </c>
      <c r="BA31" s="28" t="s">
        <v>175</v>
      </c>
      <c r="BC31" s="28">
        <f t="shared" si="19"/>
        <v>50</v>
      </c>
      <c r="BE31" s="24" t="s">
        <v>176</v>
      </c>
      <c r="BF31" s="24">
        <v>17</v>
      </c>
      <c r="BG31" s="24">
        <v>56</v>
      </c>
      <c r="BH31" s="24" t="s">
        <v>50</v>
      </c>
      <c r="BI31" s="24">
        <v>76</v>
      </c>
      <c r="BK31" s="24" t="s">
        <v>174</v>
      </c>
      <c r="BL31" s="24">
        <v>37</v>
      </c>
      <c r="BM31" s="24" t="s">
        <v>139</v>
      </c>
    </row>
    <row r="32" spans="1:65" s="24" customFormat="1" ht="15" customHeight="1" x14ac:dyDescent="0.25">
      <c r="A32" s="23" t="s">
        <v>177</v>
      </c>
      <c r="B32" s="24">
        <v>33</v>
      </c>
      <c r="C32" s="25">
        <f t="shared" si="0"/>
        <v>6.4113772804103283E-2</v>
      </c>
      <c r="D32" s="24">
        <v>14</v>
      </c>
      <c r="E32" s="25">
        <f t="shared" si="1"/>
        <v>2.7199782401740785E-2</v>
      </c>
      <c r="F32" s="26">
        <v>0.4</v>
      </c>
      <c r="G32" s="25">
        <f t="shared" si="2"/>
        <v>7.7713664004973684E-4</v>
      </c>
      <c r="H32" s="26">
        <v>75</v>
      </c>
      <c r="I32" s="25">
        <f t="shared" si="3"/>
        <v>0.14571312000932565</v>
      </c>
      <c r="J32" s="24">
        <f t="shared" si="4"/>
        <v>5.0999999999999996</v>
      </c>
      <c r="K32" s="25">
        <f t="shared" si="5"/>
        <v>9.9084921606341428E-3</v>
      </c>
      <c r="L32" s="24">
        <v>30</v>
      </c>
      <c r="M32" s="24">
        <f t="shared" si="6"/>
        <v>149.6</v>
      </c>
      <c r="N32" s="25">
        <f t="shared" si="7"/>
        <v>0.29064910337860156</v>
      </c>
      <c r="O32" s="24">
        <v>1100</v>
      </c>
      <c r="P32" s="27">
        <v>51.470999999999997</v>
      </c>
      <c r="Q32" s="27">
        <f t="shared" si="8"/>
        <v>0.35351947313915483</v>
      </c>
      <c r="R32" s="24">
        <f t="shared" si="9"/>
        <v>277.10000000000002</v>
      </c>
      <c r="S32" s="27">
        <f t="shared" si="10"/>
        <v>5.3836140739445524</v>
      </c>
      <c r="U32" s="27">
        <f t="shared" si="11"/>
        <v>157.05491465627418</v>
      </c>
      <c r="V32" s="27">
        <f t="shared" si="12"/>
        <v>0.30513282169818773</v>
      </c>
      <c r="W32" s="27">
        <f t="shared" si="20"/>
        <v>0.31</v>
      </c>
      <c r="Y32" s="27">
        <f t="shared" si="13"/>
        <v>-84.844673553397158</v>
      </c>
      <c r="Z32" s="27">
        <f t="shared" si="14"/>
        <v>-0.16483976132850958</v>
      </c>
      <c r="AC32" s="24">
        <v>70.5</v>
      </c>
      <c r="AH32" s="24" t="s">
        <v>178</v>
      </c>
      <c r="AI32" s="24">
        <v>0</v>
      </c>
      <c r="AJ32" s="24">
        <v>30</v>
      </c>
      <c r="AK32" s="24">
        <f t="shared" si="15"/>
        <v>0.3</v>
      </c>
      <c r="AL32" s="24">
        <f t="shared" si="16"/>
        <v>300</v>
      </c>
      <c r="AO32" s="28" t="s">
        <v>177</v>
      </c>
      <c r="AP32" s="24">
        <v>1</v>
      </c>
      <c r="AQ32" s="24">
        <v>1</v>
      </c>
      <c r="AR32" s="28">
        <f t="shared" si="17"/>
        <v>1.1000000000000001</v>
      </c>
      <c r="AS32" s="28">
        <f t="shared" si="18"/>
        <v>1100</v>
      </c>
      <c r="AU32" s="28" t="s">
        <v>178</v>
      </c>
      <c r="AV32" s="24">
        <v>0.03</v>
      </c>
      <c r="AW32" s="24">
        <v>0.06</v>
      </c>
      <c r="AX32" s="24">
        <v>0.38</v>
      </c>
      <c r="AY32" s="24">
        <v>0.16</v>
      </c>
      <c r="AZ32" s="24">
        <v>0.22</v>
      </c>
      <c r="BA32" s="28" t="s">
        <v>179</v>
      </c>
      <c r="BC32" s="28">
        <f t="shared" si="19"/>
        <v>30</v>
      </c>
      <c r="BE32" s="24" t="s">
        <v>180</v>
      </c>
      <c r="BF32" s="24">
        <v>6</v>
      </c>
      <c r="BG32" s="24">
        <v>24</v>
      </c>
      <c r="BH32" s="24" t="s">
        <v>50</v>
      </c>
      <c r="BI32" s="24">
        <v>33</v>
      </c>
      <c r="BK32" s="24" t="s">
        <v>178</v>
      </c>
      <c r="BL32" s="24">
        <v>14</v>
      </c>
      <c r="BM32" s="24" t="s">
        <v>181</v>
      </c>
    </row>
    <row r="33" spans="1:65 16378:16384" s="24" customFormat="1" ht="15" customHeight="1" x14ac:dyDescent="0.25">
      <c r="A33" s="29" t="s">
        <v>182</v>
      </c>
      <c r="B33" s="24">
        <v>687</v>
      </c>
      <c r="C33" s="25">
        <f t="shared" si="0"/>
        <v>5.6628268798813032E-2</v>
      </c>
      <c r="D33" s="24">
        <v>830</v>
      </c>
      <c r="E33" s="25">
        <f t="shared" si="1"/>
        <v>6.8415521256207895E-2</v>
      </c>
      <c r="F33" s="30">
        <v>240.6</v>
      </c>
      <c r="G33" s="25">
        <f t="shared" si="2"/>
        <v>1.9832258330413997E-2</v>
      </c>
      <c r="H33" s="30">
        <v>2151</v>
      </c>
      <c r="I33" s="25">
        <f t="shared" si="3"/>
        <v>0.17730335689410021</v>
      </c>
      <c r="J33" s="24">
        <f t="shared" si="4"/>
        <v>1586.1</v>
      </c>
      <c r="K33" s="25">
        <f t="shared" si="5"/>
        <v>0.13073958827044738</v>
      </c>
      <c r="L33" s="24">
        <v>9330</v>
      </c>
      <c r="M33" s="24">
        <f t="shared" si="6"/>
        <v>4202.3999999999996</v>
      </c>
      <c r="N33" s="25">
        <f t="shared" si="7"/>
        <v>0.34639685123745545</v>
      </c>
      <c r="O33" s="24">
        <v>30900</v>
      </c>
      <c r="P33" s="27">
        <v>1213.175</v>
      </c>
      <c r="Q33" s="27">
        <f t="shared" si="8"/>
        <v>8.3324782270714426</v>
      </c>
      <c r="R33" s="24">
        <f t="shared" si="9"/>
        <v>9697.0999999999985</v>
      </c>
      <c r="S33" s="27">
        <f t="shared" si="10"/>
        <v>7.9931584478743787</v>
      </c>
      <c r="T33" s="24">
        <f>B33+F33</f>
        <v>927.6</v>
      </c>
      <c r="U33" s="27">
        <f t="shared" si="11"/>
        <v>2774.1951096369889</v>
      </c>
      <c r="V33" s="27">
        <f t="shared" si="12"/>
        <v>0.22867229456896071</v>
      </c>
      <c r="W33" s="27">
        <f t="shared" si="20"/>
        <v>0.23</v>
      </c>
      <c r="Y33" s="27">
        <f t="shared" si="13"/>
        <v>-1999.7947744971464</v>
      </c>
      <c r="Z33" s="27">
        <f t="shared" si="14"/>
        <v>-0.16483976132850961</v>
      </c>
      <c r="AC33" s="24">
        <v>1687.2</v>
      </c>
      <c r="AH33" s="24" t="s">
        <v>183</v>
      </c>
      <c r="AI33" s="24">
        <v>9</v>
      </c>
      <c r="AJ33" s="24">
        <v>33</v>
      </c>
      <c r="AK33" s="24">
        <f t="shared" si="15"/>
        <v>9.33</v>
      </c>
      <c r="AL33" s="24">
        <f t="shared" si="16"/>
        <v>9330</v>
      </c>
      <c r="AO33" s="28" t="s">
        <v>184</v>
      </c>
      <c r="AP33" s="24">
        <v>30</v>
      </c>
      <c r="AQ33" s="24">
        <v>9</v>
      </c>
      <c r="AR33" s="28">
        <f t="shared" si="17"/>
        <v>30.9</v>
      </c>
      <c r="AS33" s="28">
        <f t="shared" si="18"/>
        <v>30900</v>
      </c>
      <c r="AU33" s="28" t="s">
        <v>183</v>
      </c>
      <c r="AV33" s="24">
        <v>9.33</v>
      </c>
      <c r="AW33" s="24">
        <v>20.74</v>
      </c>
      <c r="AX33" s="24">
        <v>8.68</v>
      </c>
      <c r="AY33" s="24">
        <v>2.39</v>
      </c>
      <c r="AZ33" s="24">
        <v>3.24</v>
      </c>
      <c r="BA33" s="28" t="s">
        <v>185</v>
      </c>
      <c r="BC33" s="28">
        <f t="shared" si="19"/>
        <v>9330</v>
      </c>
      <c r="BE33" s="24" t="s">
        <v>186</v>
      </c>
      <c r="BF33" s="24" t="s">
        <v>187</v>
      </c>
      <c r="BG33" s="24">
        <v>505</v>
      </c>
      <c r="BH33" s="24">
        <v>375</v>
      </c>
      <c r="BI33" s="24">
        <v>687</v>
      </c>
      <c r="BK33" s="24" t="s">
        <v>183</v>
      </c>
      <c r="BL33" s="24">
        <v>830</v>
      </c>
      <c r="BM33" s="24" t="s">
        <v>98</v>
      </c>
    </row>
    <row r="34" spans="1:65 16378:16384" s="24" customFormat="1" ht="15" customHeight="1" x14ac:dyDescent="0.25">
      <c r="A34" s="23" t="s">
        <v>188</v>
      </c>
      <c r="B34" s="24">
        <v>190</v>
      </c>
      <c r="C34" s="25">
        <f t="shared" si="0"/>
        <v>3.4376820614512811E-2</v>
      </c>
      <c r="D34" s="24">
        <v>601</v>
      </c>
      <c r="E34" s="25">
        <f t="shared" si="1"/>
        <v>0.10873931152274841</v>
      </c>
      <c r="F34" s="26">
        <v>245.1</v>
      </c>
      <c r="G34" s="25">
        <f t="shared" si="2"/>
        <v>4.4346098592721525E-2</v>
      </c>
      <c r="H34" s="26">
        <v>712</v>
      </c>
      <c r="I34" s="25">
        <f t="shared" si="3"/>
        <v>0.12882261198701644</v>
      </c>
      <c r="J34" s="24">
        <f t="shared" si="4"/>
        <v>197.2</v>
      </c>
      <c r="K34" s="25">
        <f t="shared" si="5"/>
        <v>3.5679521185168026E-2</v>
      </c>
      <c r="L34" s="24">
        <v>1160</v>
      </c>
      <c r="M34" s="24">
        <f t="shared" si="6"/>
        <v>965.6</v>
      </c>
      <c r="N34" s="25">
        <f t="shared" si="7"/>
        <v>0.17470662097565037</v>
      </c>
      <c r="O34" s="24">
        <v>7100</v>
      </c>
      <c r="P34" s="27">
        <v>552.69799999999998</v>
      </c>
      <c r="Q34" s="27">
        <f t="shared" si="8"/>
        <v>3.7961086002810243</v>
      </c>
      <c r="R34" s="24">
        <f t="shared" si="9"/>
        <v>2910.9</v>
      </c>
      <c r="S34" s="27">
        <f t="shared" si="10"/>
        <v>5.2667098487781754</v>
      </c>
      <c r="U34" s="27">
        <f t="shared" si="11"/>
        <v>1686.4630028694496</v>
      </c>
      <c r="V34" s="27">
        <f t="shared" si="12"/>
        <v>0.30513282169818778</v>
      </c>
      <c r="W34" s="27">
        <f t="shared" si="20"/>
        <v>0.31</v>
      </c>
      <c r="Y34" s="27">
        <f t="shared" si="13"/>
        <v>-911.06606406744595</v>
      </c>
      <c r="Z34" s="27">
        <f t="shared" si="14"/>
        <v>-0.16483976132850958</v>
      </c>
      <c r="AC34" s="24">
        <v>601.20000000000005</v>
      </c>
      <c r="AH34" s="24" t="s">
        <v>189</v>
      </c>
      <c r="AI34" s="24">
        <v>1</v>
      </c>
      <c r="AJ34" s="24">
        <v>16</v>
      </c>
      <c r="AK34" s="24">
        <f t="shared" si="15"/>
        <v>1.1599999999999999</v>
      </c>
      <c r="AL34" s="24">
        <f t="shared" si="16"/>
        <v>1160</v>
      </c>
      <c r="AO34" s="28" t="s">
        <v>190</v>
      </c>
      <c r="AP34" s="24">
        <v>7</v>
      </c>
      <c r="AQ34" s="24">
        <v>1</v>
      </c>
      <c r="AR34" s="28">
        <f t="shared" si="17"/>
        <v>7.1</v>
      </c>
      <c r="AS34" s="28">
        <f t="shared" si="18"/>
        <v>7100</v>
      </c>
      <c r="AU34" s="28" t="s">
        <v>189</v>
      </c>
      <c r="AV34" s="24">
        <v>1.1599999999999999</v>
      </c>
      <c r="AW34" s="24">
        <v>2.58</v>
      </c>
      <c r="AX34" s="24">
        <v>3.23</v>
      </c>
      <c r="AY34" s="24">
        <v>0.8</v>
      </c>
      <c r="AZ34" s="24">
        <v>1.08</v>
      </c>
      <c r="BA34" s="28" t="s">
        <v>191</v>
      </c>
      <c r="BC34" s="28">
        <f t="shared" si="19"/>
        <v>1160</v>
      </c>
      <c r="BE34" s="24" t="s">
        <v>192</v>
      </c>
      <c r="BF34" s="24">
        <v>270</v>
      </c>
      <c r="BG34" s="24">
        <v>140</v>
      </c>
      <c r="BH34" s="24" t="s">
        <v>50</v>
      </c>
      <c r="BI34" s="24">
        <v>190</v>
      </c>
      <c r="BK34" s="24" t="s">
        <v>189</v>
      </c>
      <c r="BL34" s="24">
        <v>601</v>
      </c>
      <c r="BM34" s="24" t="s">
        <v>193</v>
      </c>
    </row>
    <row r="35" spans="1:65 16378:16384" s="38" customFormat="1" ht="15" customHeight="1" x14ac:dyDescent="0.25">
      <c r="A35" s="33" t="s">
        <v>194</v>
      </c>
      <c r="B35" s="34">
        <v>5880</v>
      </c>
      <c r="C35" s="35"/>
      <c r="D35" s="36">
        <v>9616</v>
      </c>
      <c r="E35" s="35"/>
      <c r="F35" s="34">
        <v>8334.6</v>
      </c>
      <c r="G35" s="35"/>
      <c r="H35" s="34">
        <v>26264</v>
      </c>
      <c r="I35" s="35"/>
      <c r="J35" s="24">
        <f>SUM(J8:J34)</f>
        <v>7650.0000000000009</v>
      </c>
      <c r="K35" s="27"/>
      <c r="L35" s="24"/>
      <c r="M35" s="24">
        <f>SUM(M8:M34)</f>
        <v>40677.599999999999</v>
      </c>
      <c r="N35" s="27"/>
      <c r="O35" s="24"/>
      <c r="P35" s="27"/>
      <c r="Q35" s="37">
        <v>100</v>
      </c>
      <c r="R35" s="24">
        <f>H35+F35+B35+D35+L35+M35</f>
        <v>90772.2</v>
      </c>
      <c r="S35" s="27"/>
      <c r="T35" s="24"/>
      <c r="U35" s="24">
        <f>SUM(U8:U34)</f>
        <v>37876.579621376048</v>
      </c>
      <c r="V35" s="24"/>
      <c r="W35" s="38" t="e">
        <f t="shared" si="20"/>
        <v>#DIV/0!</v>
      </c>
      <c r="Y35" s="27">
        <f t="shared" si="13"/>
        <v>-24000</v>
      </c>
      <c r="Z35" s="27"/>
      <c r="AC35" s="38">
        <v>18796</v>
      </c>
      <c r="AL35" s="38">
        <f>SUM(AL8:AL34)</f>
        <v>47600</v>
      </c>
      <c r="AR35" s="38">
        <f>SUM(AR8:AR34)</f>
        <v>299.10000000000008</v>
      </c>
      <c r="XEX35" s="24"/>
      <c r="XEY35" s="24"/>
      <c r="XEZ35" s="24"/>
      <c r="XFA35" s="24"/>
      <c r="XFB35" s="24"/>
      <c r="XFC35" s="24"/>
      <c r="XFD35" s="24"/>
    </row>
    <row r="36" spans="1:65 16378:16384" x14ac:dyDescent="0.25">
      <c r="B36" s="4">
        <f>SUM(B8:B34)</f>
        <v>5880</v>
      </c>
      <c r="C36" s="5"/>
      <c r="D36" s="4">
        <f>SUM(D8:D34)</f>
        <v>9620</v>
      </c>
      <c r="E36" s="5"/>
      <c r="F36" s="4">
        <f>SUM(F8:F34)</f>
        <v>8334.4999999999982</v>
      </c>
      <c r="G36" s="5"/>
      <c r="H36" s="4">
        <f>SUM(H8:H34)</f>
        <v>26264</v>
      </c>
      <c r="I36" s="5"/>
      <c r="J36" s="5"/>
      <c r="L36" s="4">
        <f>SUM(L8:L34)</f>
        <v>45000</v>
      </c>
      <c r="M36" s="4">
        <f>SUM(M8:M34)</f>
        <v>40677.599999999999</v>
      </c>
      <c r="O36" s="4">
        <f>SUM(O8:O34)</f>
        <v>299100</v>
      </c>
      <c r="P36" s="5">
        <f>SUM(P8:P34)</f>
        <v>14559.593999999999</v>
      </c>
      <c r="Q36" s="5"/>
      <c r="R36" s="4">
        <f>SUM(R8:R34)</f>
        <v>98426.100000000035</v>
      </c>
      <c r="S36" s="5"/>
    </row>
    <row r="37" spans="1:65 16378:16384" ht="15" customHeight="1" x14ac:dyDescent="0.25">
      <c r="J37" s="39">
        <v>17</v>
      </c>
      <c r="K37" s="40"/>
      <c r="M37" s="39">
        <v>13.6</v>
      </c>
      <c r="N37" s="40"/>
    </row>
    <row r="38" spans="1:65 16378:16384" x14ac:dyDescent="0.25">
      <c r="B38" s="2" t="s">
        <v>195</v>
      </c>
      <c r="C38" s="1">
        <f>SUM(B35:M35)</f>
        <v>98422.2</v>
      </c>
      <c r="D38" s="1"/>
      <c r="E38" s="1"/>
      <c r="J38" s="4" t="s">
        <v>196</v>
      </c>
      <c r="M38" s="41" t="s">
        <v>197</v>
      </c>
      <c r="N38" s="42"/>
      <c r="T38" s="4" t="s">
        <v>198</v>
      </c>
    </row>
    <row r="39" spans="1:65 16378:16384" x14ac:dyDescent="0.25">
      <c r="B39" s="2"/>
      <c r="C39" s="1"/>
      <c r="D39" s="1"/>
      <c r="E39" s="1"/>
      <c r="T39" s="4" t="s">
        <v>199</v>
      </c>
    </row>
    <row r="40" spans="1:65 16378:16384" x14ac:dyDescent="0.25">
      <c r="B40" s="2"/>
      <c r="C40" s="1"/>
      <c r="D40" s="1"/>
      <c r="E40" s="1"/>
      <c r="P40" s="43" t="s">
        <v>200</v>
      </c>
      <c r="Q40" s="44">
        <v>192.8</v>
      </c>
      <c r="R40" s="41"/>
      <c r="S40" s="41"/>
      <c r="T40" s="41" t="s">
        <v>201</v>
      </c>
      <c r="U40" s="41"/>
      <c r="V40" s="41"/>
    </row>
    <row r="41" spans="1:65 16378:16384" x14ac:dyDescent="0.25">
      <c r="P41" s="43" t="s">
        <v>202</v>
      </c>
      <c r="Q41" s="43">
        <f>Q40*0.7</f>
        <v>134.96</v>
      </c>
      <c r="R41" s="41"/>
      <c r="S41" s="41"/>
      <c r="T41" s="41"/>
      <c r="U41" s="41"/>
      <c r="V41" s="41"/>
    </row>
    <row r="42" spans="1:65 16378:16384" x14ac:dyDescent="0.25">
      <c r="P42" s="43"/>
      <c r="Q42" s="43"/>
      <c r="R42" s="41"/>
      <c r="S42" s="41"/>
      <c r="T42" s="41"/>
      <c r="U42" s="41"/>
      <c r="V42" s="41"/>
    </row>
    <row r="43" spans="1:65 16378:16384" x14ac:dyDescent="0.25">
      <c r="P43" s="45" t="s">
        <v>203</v>
      </c>
      <c r="Q43" s="46">
        <v>30</v>
      </c>
      <c r="R43" s="41"/>
      <c r="S43" s="41"/>
      <c r="T43" s="41"/>
      <c r="U43" s="41"/>
      <c r="V43" s="41"/>
    </row>
    <row r="44" spans="1:65 16378:16384" x14ac:dyDescent="0.25">
      <c r="P44" s="45" t="s">
        <v>204</v>
      </c>
      <c r="Q44" s="45">
        <f>R36/1000 -Q43</f>
        <v>68.426100000000034</v>
      </c>
      <c r="R44" s="41"/>
      <c r="S44" s="41"/>
      <c r="T44" s="41"/>
      <c r="U44" s="41"/>
      <c r="V44" s="41"/>
    </row>
    <row r="45" spans="1:65 16378:16384" x14ac:dyDescent="0.25">
      <c r="P45" s="45" t="s">
        <v>205</v>
      </c>
      <c r="Q45" s="45">
        <f>Q44-Q46-Q47</f>
        <v>30.426100000000034</v>
      </c>
      <c r="R45" s="41"/>
      <c r="S45" s="41"/>
      <c r="T45" s="41"/>
      <c r="U45" s="41"/>
      <c r="V45" s="41"/>
    </row>
    <row r="46" spans="1:65 16378:16384" x14ac:dyDescent="0.25">
      <c r="P46" s="45" t="s">
        <v>206</v>
      </c>
      <c r="Q46" s="46">
        <v>14</v>
      </c>
      <c r="R46" s="41"/>
      <c r="S46" s="41"/>
      <c r="T46" s="41"/>
      <c r="U46" s="41"/>
      <c r="V46" s="41"/>
    </row>
    <row r="47" spans="1:65 16378:16384" x14ac:dyDescent="0.25">
      <c r="P47" s="45" t="s">
        <v>207</v>
      </c>
      <c r="Q47" s="46">
        <v>24</v>
      </c>
      <c r="R47" s="41"/>
      <c r="S47" s="41"/>
      <c r="T47" s="41"/>
      <c r="U47" s="41"/>
      <c r="V47" s="41"/>
    </row>
    <row r="48" spans="1:65 16378:16384" x14ac:dyDescent="0.25">
      <c r="B48" s="41"/>
      <c r="C48" s="41"/>
      <c r="D48" s="41"/>
      <c r="E48" s="41"/>
      <c r="F48" s="41"/>
      <c r="G48" s="41"/>
      <c r="H48" s="41"/>
      <c r="I48" s="41"/>
      <c r="P48" s="45" t="s">
        <v>208</v>
      </c>
      <c r="Q48" s="45">
        <f>Q40+Q46</f>
        <v>206.8</v>
      </c>
      <c r="R48" s="41"/>
      <c r="S48" s="41"/>
      <c r="T48" s="41"/>
      <c r="U48" s="41"/>
      <c r="V48" s="41"/>
    </row>
    <row r="49" spans="1:26" x14ac:dyDescent="0.25">
      <c r="B49" s="41"/>
      <c r="C49" s="41"/>
      <c r="D49" s="41"/>
      <c r="E49" s="41"/>
      <c r="F49" s="41"/>
      <c r="G49" s="41"/>
      <c r="H49" s="41"/>
      <c r="I49" s="41"/>
      <c r="P49" s="45" t="s">
        <v>202</v>
      </c>
      <c r="Q49" s="45">
        <f>Q41-Q45</f>
        <v>104.53389999999997</v>
      </c>
      <c r="R49" s="41"/>
      <c r="S49" s="41"/>
      <c r="T49" s="41"/>
      <c r="U49" s="41"/>
      <c r="V49" s="41"/>
    </row>
    <row r="50" spans="1:26" x14ac:dyDescent="0.25">
      <c r="B50" s="41"/>
      <c r="C50" s="41"/>
      <c r="D50" s="41"/>
      <c r="E50" s="41"/>
      <c r="F50" s="41"/>
      <c r="G50" s="41"/>
      <c r="H50" s="41"/>
      <c r="I50" s="41"/>
      <c r="P50" s="45" t="s">
        <v>209</v>
      </c>
      <c r="Q50" s="47">
        <f>Q49/Q48</f>
        <v>0.50548307543520299</v>
      </c>
      <c r="R50" s="41"/>
      <c r="S50" s="41"/>
      <c r="T50" s="41"/>
      <c r="U50" s="41"/>
      <c r="V50" s="41"/>
    </row>
    <row r="53" spans="1:26" ht="18" customHeight="1" x14ac:dyDescent="0.25">
      <c r="A53" s="48"/>
      <c r="U53" s="4" t="s">
        <v>210</v>
      </c>
      <c r="Y53" s="4" t="s">
        <v>211</v>
      </c>
      <c r="Z53" s="4"/>
    </row>
    <row r="55" spans="1:26" ht="18" customHeight="1" x14ac:dyDescent="0.25">
      <c r="A55" s="48"/>
      <c r="J55" s="4" t="s">
        <v>5</v>
      </c>
      <c r="M55" s="4" t="s">
        <v>6</v>
      </c>
    </row>
  </sheetData>
  <mergeCells count="3">
    <mergeCell ref="A1:A3"/>
    <mergeCell ref="B38:B40"/>
    <mergeCell ref="C38:E4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Combined_2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fabre</cp:lastModifiedBy>
  <cp:revision>52</cp:revision>
  <dcterms:created xsi:type="dcterms:W3CDTF">2026-08-25T09:17:27Z</dcterms:created>
  <dcterms:modified xsi:type="dcterms:W3CDTF">2026-09-07T11:52:36Z</dcterms:modified>
  <dc:language>fr-FR</dc:language>
</cp:coreProperties>
</file>