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WF vs GDP" sheetId="1" state="visible" r:id="rId3"/>
    <sheet name="Note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<sst xmlns="http://schemas.openxmlformats.org/spreadsheetml/2006/main" count="419" uniqueCount="274">
  <si>
    <t xml:space="preserve">Region</t>
  </si>
  <si>
    <t xml:space="preserve">Country</t>
  </si>
  <si>
    <t xml:space="preserve">Fund(s)</t>
  </si>
  <si>
    <t xml:space="preserve">AUM (US$ bn)</t>
  </si>
  <si>
    <t xml:space="preserve">AUM as of</t>
  </si>
  <si>
    <t xml:space="preserve">Approx. GDP (US$ bn)</t>
  </si>
  <si>
    <t xml:space="preserve">AUM / GDP (%)</t>
  </si>
  <si>
    <t xml:space="preserve">Confidence</t>
  </si>
  <si>
    <t xml:space="preserve">In World Total?</t>
  </si>
  <si>
    <t xml:space="preserve">Asset Allocation</t>
  </si>
  <si>
    <t xml:space="preserve">Mandate / Restrictions / Guidelines</t>
  </si>
  <si>
    <t xml:space="preserve">Source / Note</t>
  </si>
  <si>
    <t xml:space="preserve">Europe</t>
  </si>
  <si>
    <t xml:space="preserve">Norway</t>
  </si>
  <si>
    <t xml:space="preserve">Government Pension Fund Global (GPFG)</t>
  </si>
  <si>
    <t xml:space="preserve">end-2025</t>
  </si>
  <si>
    <t xml:space="preserve">High</t>
  </si>
  <si>
    <t xml:space="preserve">Yes</t>
  </si>
  <si>
    <t xml:space="preserve">71.3% equities, 26.5% fixed income, 1.7% unlisted real estate, 0.4% unlisted renewable infrastructure (end-2025)</t>
  </si>
  <si>
    <t xml:space="preserve">Explicitly BANNED from investing in Norway/NOK-denominated securities -- 100% invested abroad by law, to avoid overheating the domestic economy and keep the fund's risk uncorrelated with Norway's own. No private equity (parliament rejected expanding the mandate in 2018). Ethics Council can exclude companies (coal, tobacco, weapons, severe ESG breaches). Passive, index-tracking (FTSE Global All Cap), minimal active management.</t>
  </si>
  <si>
    <t xml:space="preserve">Norges Bank/NBIM 2025 Annual Report; regjeringen.no Meld. St. 7/22</t>
  </si>
  <si>
    <t xml:space="preserve">Gulf/Middle East</t>
  </si>
  <si>
    <t xml:space="preserve">United Arab Emirates</t>
  </si>
  <si>
    <t xml:space="preserve">ADIA + Mubadala + ADQ + ICD (combined)</t>
  </si>
  <si>
    <t xml:space="preserve">2026</t>
  </si>
  <si>
    <t xml:space="preserve">Varies by entity -- ADIA: global diversified public/private equities, fixed income, real estate, infra, ~mostly passive index-linked strategies. Mubadala/ADQ: much higher domestic and strategic-sector weighting</t>
  </si>
  <si>
    <t xml:space="preserve">Structurally split mandate unique among SWFs: ADIA is a pure financial-return fund (like Norway) with no explicit domestic mandate; Mubadala and ADQ are development vehicles explicitly tasked with diversifying and building the Abu Dhabi/UAE economy (semiconductors, AI, healthcare, aerospace) -- so domestic bias is concentrated in the 'development' entities while ADIA stays globally diversified</t>
  </si>
  <si>
    <t xml:space="preserve">Vision2030.ai PIF comparison analysis, Apr 2026 (describing ADIA/Mubadala split); general knowledge for entity roles</t>
  </si>
  <si>
    <t xml:space="preserve">Qatar</t>
  </si>
  <si>
    <t xml:space="preserve">Qatar Investment Authority (QIA)</t>
  </si>
  <si>
    <t xml:space="preserve">Global diversified: public equities, real estate (trophy assets e.g. Harrods, Canary Wharf stakes), private equity, infrastructure</t>
  </si>
  <si>
    <t xml:space="preserve">Historically almost entirely international; since Qatar National Vision 2030 QIA has been directed to increase domestic allocation somewhat (local real estate, sports/media assets) but remains predominantly an overseas financial investor, unlike PIF or Mubadala. No public primary-market quota found.</t>
  </si>
  <si>
    <t xml:space="preserve">General knowledge, not independently re-verified this session -- treat with caution</t>
  </si>
  <si>
    <t xml:space="preserve">Kuwait</t>
  </si>
  <si>
    <t xml:space="preserve">Kuwait Investment Authority (KIA)</t>
  </si>
  <si>
    <t xml:space="preserve">Split into two sub-funds: General Reserve Fund (near-term, liquid, funds state budget) and Future Generations Fund (~long-term, diversified global equities/bonds/alternatives, receives 10% of all state revenue by law)</t>
  </si>
  <si>
    <t xml:space="preserve">The world's oldest SWF (est. 1953). Predominantly passive international investor; no explicit domestic-bias mandate. The 10%-of-revenue mandatory annual transfer to the Future Generations Fund is a distinctive statutory rule (Law No. 106 of 1976).</t>
  </si>
  <si>
    <t xml:space="preserve">General knowledge, not independently re-verified this session</t>
  </si>
  <si>
    <t xml:space="preserve">Asia-Pacific</t>
  </si>
  <si>
    <t xml:space="preserve">Singapore</t>
  </si>
  <si>
    <t xml:space="preserve">GIC + Temasek + MAS reserves (combined)</t>
  </si>
  <si>
    <t xml:space="preserve">2025-26</t>
  </si>
  <si>
    <t xml:space="preserve">Medium</t>
  </si>
  <si>
    <t xml:space="preserve">GIC: ~global diversified (equities, fixed income, real estate, PE); Temasek: concentrated equity holdings, historically ~24-27% Singapore-domiciled assets, rest in Asia and globally; MAS: liquid FX reserves</t>
  </si>
  <si>
    <t xml:space="preserve">GIC is explicitly restricted from significant domestic exposure to avoid conflicts with the central bank's (MAS) own monetary and financial-stability role -- it invests almost entirely abroad. Temasek is the inverse: it began as, and still holds, a large base of Singapore government-linked companies (Singtel, DBS, SIA, etc.), giving it structural home bias, though it has diversified toward ~Asia (~50%) and global markets over time.</t>
  </si>
  <si>
    <t xml:space="preserve">General knowledge (GIC/Temasek mandate distinction is well documented); not independently re-verified this session</t>
  </si>
  <si>
    <t xml:space="preserve">Saudi Arabia</t>
  </si>
  <si>
    <t xml:space="preserve">Public Investment Fund (PIF)</t>
  </si>
  <si>
    <t xml:space="preserve">Reorganized 2026-2030 into three portfolios: Vision Portfolio (domestic 'giga-project'/ecosystem builder), Strategic Portfolio, Financial Portfolio (global diversified returns-seeking)</t>
  </si>
  <si>
    <t xml:space="preserve">Explicit DUAL mandate unlike most peers: simultaneously a financial-return investor AND the primary vehicle for Vision 2030 domestic economic diversification. Invested &gt;$199bn domestically 2021-2025; ~30-35% of AUM is the Saudi Aramco stake alone. No formal cap on domestic share -- decided project-by-project by the PIF board chaired by the Crown Prince. Recently doubling down on domestic investment as giga-project needs have grown.</t>
  </si>
  <si>
    <t xml:space="preserve">vision2030.ai (PIF strategy pages, Apr 2026); PIF.gov.sa 2026-2030 strategy press release; Al-Monitor Aug 2024</t>
  </si>
  <si>
    <t xml:space="preserve">Timor-Leste</t>
  </si>
  <si>
    <t xml:space="preserve">Petroleum Fund</t>
  </si>
  <si>
    <t xml:space="preserve">~2024-25</t>
  </si>
  <si>
    <t xml:space="preserve">~40-50% global equities / 50-60% fixed income (2021 law raised the equity ceiling from 40% to 50%); previously 60% bonds/40% equities</t>
  </si>
  <si>
    <t xml:space="preserve">By law invested ONLY in international financial assets -- explicitly barred from domestic investment, mirroring Norway's model, precisely to avoid Dutch-disease-style overheating of Timor-Leste's tiny non-oil economy. Annual withdrawals to the state budget capped by law at 3% of total 'Petroleum Wealth' (the Estimated Sustainable Income rule) -- though actual withdrawals have exceeded this ceiling most years since 2009.</t>
  </si>
  <si>
    <t xml:space="preserve">IFSWF Timor-Leste profile; US State Dept 2025 Investment Climate Statement; Heinrich Boll Foundation 2022</t>
  </si>
  <si>
    <t xml:space="preserve">Kiribati</t>
  </si>
  <si>
    <t xml:space="preserve">Revenue Equalization Reserve Fund (RERF)</t>
  </si>
  <si>
    <t xml:space="preserve">recent</t>
  </si>
  <si>
    <t xml:space="preserve">Low</t>
  </si>
  <si>
    <t xml:space="preserve">Conservative global bonds/equities mix, externally managed</t>
  </si>
  <si>
    <t xml:space="preserve">Invested entirely offshore by necessity (Kiribati has essentially no domestic capital market); managed by external fund managers under Ministry of Finance oversight. Not independently re-verified this session.</t>
  </si>
  <si>
    <t xml:space="preserve">General knowledge; Wikipedia</t>
  </si>
  <si>
    <t xml:space="preserve">Americas</t>
  </si>
  <si>
    <t xml:space="preserve">Canada</t>
  </si>
  <si>
    <t xml:space="preserve">Canada Strong Fund</t>
  </si>
  <si>
    <t xml:space="preserve">Apr-2026</t>
  </si>
  <si>
    <t xml:space="preserve">Not yet fully deployed as of mid-2026; intended to co-invest alongside private capital in Canadian strategic sectors (critical minerals, housing, defence, AI infrastructure)</t>
  </si>
  <si>
    <t xml:space="preserve">Explicit DOMESTIC mandate -- unlike most classic SWFs, it exists specifically to invest in Canadian companies and strategic sectors, financed by federal borrowing rather than a resource surplus. This is close to an industrial-policy vehicle rather than a passive-return fund.</t>
  </si>
  <si>
    <t xml:space="preserve">Press reporting on the 27 Apr 2026 announcement; details still emerging as of this session</t>
  </si>
  <si>
    <t xml:space="preserve">Post-Soviet/Central Asia</t>
  </si>
  <si>
    <t xml:space="preserve">Russia</t>
  </si>
  <si>
    <t xml:space="preserve">National Wealth Fund (NWF)</t>
  </si>
  <si>
    <t xml:space="preserve">Apr-May 2026</t>
  </si>
  <si>
    <t xml:space="preserve">Historically investment-grade foreign bonds + gold/yuan since Western-currency access was curtailed post-2022; only ~$55bn considered liquid, the rest committed to domestic bank recapitalizations and infrastructure loans</t>
  </si>
  <si>
    <t xml:space="preserve">Legally restricted to investment-grade assets, but the restriction on WHERE has shifted dramatically: pre-2022 it was foreign-asset-heavy (like Norway); post-2022 sanctions have forced a pivot toward domestic infrastructure and bank-support loans and non-Western reserve currencies (yuan, gold). This is a mandate change driven by external constraint rather than original design.</t>
  </si>
  <si>
    <t xml:space="preserve">TASS/tradingeconomics 2026; general knowledge for sanctions-era pivot, not independently re-verified this session</t>
  </si>
  <si>
    <t xml:space="preserve">Kazakhstan</t>
  </si>
  <si>
    <t xml:space="preserve">National Fund (NF)</t>
  </si>
  <si>
    <t xml:space="preserve">end-2024</t>
  </si>
  <si>
    <t xml:space="preserve">Conservative: predominantly foreign investment-grade fixed income and equities, managed by the National Bank</t>
  </si>
  <si>
    <t xml:space="preserve">Modeled explicitly on Norway: invested abroad, with a rules-based annual transfer to the state budget (guaranteed + non-guaranteed transfers set in the Budget Code). Fund fell from a 2012-2021 average of 42% of GDP to 25.9% at end-2024, reflecting heavier-than-planned budget transfers.</t>
  </si>
  <si>
    <t xml:space="preserve">National Bank of Kazakhstan/Kursiv Media data</t>
  </si>
  <si>
    <t xml:space="preserve">Kazakhstan (additional)</t>
  </si>
  <si>
    <t xml:space="preserve">Samruk-Kazyna (state holding co., domestic)</t>
  </si>
  <si>
    <t xml:space="preserve">Entirely domestic: direct equity stakes in Kazakhstan's largest SOEs (KazMunayGas, Kazatomprom, Air Astana, national railway, power utilities)</t>
  </si>
  <si>
    <t xml:space="preserve">Not a classic SWF -- a domestic operating holding company for state enterprises, akin to Malaysia's Khazanah or Turkey's TWF model, explicitly there to run/restructure/eventually privatize Kazakh state assets rather than diversify abroad.</t>
  </si>
  <si>
    <t xml:space="preserve">Praxis Rock (Apr'26)</t>
  </si>
  <si>
    <t xml:space="preserve">Libya</t>
  </si>
  <si>
    <t xml:space="preserve">Libyan Investment Authority (LIA)</t>
  </si>
  <si>
    <t xml:space="preserve">2023-25</t>
  </si>
  <si>
    <t xml:space="preserve">Historically global diversified equities, real estate, PE; largely frozen/inactive under UN Security Council sanctions since 2011, with only very limited authorized reinvestment of frozen assets permitted since 2020</t>
  </si>
  <si>
    <t xml:space="preserve">Roughly half of LIA's assets remain frozen under UN sanctions pending resolution of Libya's political crisis; active management/reallocation is severely constrained by external legal restriction rather than an internal mandate choice.</t>
  </si>
  <si>
    <t xml:space="preserve">Crisis Group, US State Dept 2025</t>
  </si>
  <si>
    <t xml:space="preserve">Africa</t>
  </si>
  <si>
    <t xml:space="preserve">Angola</t>
  </si>
  <si>
    <t xml:space="preserve">Fundo Soberano de Angola (FSDEA)</t>
  </si>
  <si>
    <t xml:space="preserve">Mixed domestic/international: hospitality and infrastructure investments in Africa (notably hotels), alongside a smaller international fixed-income/equity sleeve</t>
  </si>
  <si>
    <t xml:space="preserve">Has an explicit African/domestic-development tilt (distinct from a pure stabilization fund) -- historically directed toward hotel and infrastructure assets in Angola and the wider region. Governance has been repeatedly criticized (2018 seizure/restructuring after mismanagement under the previous chairman).</t>
  </si>
  <si>
    <t xml:space="preserve">Christopher Sanchez &amp; Co. Aug-2025; general knowledge on governance history, not fully re-verified this session</t>
  </si>
  <si>
    <t xml:space="preserve">Nigeria</t>
  </si>
  <si>
    <t xml:space="preserve">Nigeria Sovereign Investment Authority (NSIA)</t>
  </si>
  <si>
    <t xml:space="preserve">Split across three ring-fenced sub-funds: Future Generations Fund (global diversified equities/PE), Stabilisation Fund (liquid, short-duration), Nigeria Infrastructure Fund (domestic infrastructure equity/debt)</t>
  </si>
  <si>
    <t xml:space="preserve">Explicit statutory domestic-infrastructure mandate via the Infrastructure Fund sub-vehicle (power, roads, agriculture, healthcare), alongside a genuinely global Future Generations Fund -- a deliberate three-way split between domestic development, stabilization, and pure international savings.</t>
  </si>
  <si>
    <t xml:space="preserve">BusinessDay NG 2025; general structure well documented (NSIA Act 2011)</t>
  </si>
  <si>
    <t xml:space="preserve">Iran</t>
  </si>
  <si>
    <t xml:space="preserve">National Development Fund of Iran (NDFI)</t>
  </si>
  <si>
    <t xml:space="preserve">~2023-25</t>
  </si>
  <si>
    <t xml:space="preserve">Reportedly used substantially as a domestic development-bank-style lender to private-sector and state projects (energy, agriculture, industry) rather than a diversified global portfolio</t>
  </si>
  <si>
    <t xml:space="preserve">By law required to preserve a share of oil/gas revenue for future generations and to on-lend a portion domestically at preferential rates to approved private-sector projects -- effectively closer to a national development bank than a passive SWF. Highly opaque; sanctions-era reporting is contested.</t>
  </si>
  <si>
    <t xml:space="preserve">Contested/opaque; opposition sources claim further depletion in 2025 -- treat with real caution</t>
  </si>
  <si>
    <t xml:space="preserve">Azerbaijan</t>
  </si>
  <si>
    <t xml:space="preserve">State Oil Fund of Azerbaijan (SOFAZ)</t>
  </si>
  <si>
    <t xml:space="preserve">Jan-2025</t>
  </si>
  <si>
    <t xml:space="preserve">Diversified foreign fixed income, equities, gold, plus a real estate sleeve and periodic domestic infrastructure funding (e.g. the Baku-Tbilisi-Kars railway, Southern Gas Corridor)</t>
  </si>
  <si>
    <t xml:space="preserve">Modeled on Norway's international-investment approach for the bulk of the portfolio, but SOFAZ has an explicit secondary mandate to fund named domestic/regional strategic infrastructure projects designated by presidential decree -- a hybrid between a pure savings fund and a development vehicle.</t>
  </si>
  <si>
    <t xml:space="preserve">US State Dept Investment Climate Statement 2025; general knowledge on infrastructure funding role</t>
  </si>
  <si>
    <t xml:space="preserve">China</t>
  </si>
  <si>
    <t xml:space="preserve">CIC + SAFE Investment Co. + NCSSF (combined)</t>
  </si>
  <si>
    <t xml:space="preserve">2024-26</t>
  </si>
  <si>
    <t xml:space="preserve">Low-Medium</t>
  </si>
  <si>
    <t xml:space="preserve">CIC: global public equities, fixed income, PE/VC, real assets (explicitly overseas-focused to diversify China's FX reserves); SAFE: conservative global bonds; NCSSF: mixed domestic A-shares + international allocation</t>
  </si>
  <si>
    <t xml:space="preserve">CIC was created specifically to invest China's excess FX reserves ABROAD (to avoid further RMB appreciation pressure and diversify away from US Treasuries) -- so unlike most funds discussed here, its explicit mandate is anti-domestic. NCSSF, by contrast, holds a meaningful domestic A-share allocation as a national pension backstop.</t>
  </si>
  <si>
    <t xml:space="preserve">General knowledge (well documented rationale for CIC's founding in 2007); not independently re-verified this session</t>
  </si>
  <si>
    <t xml:space="preserve">Hong Kong</t>
  </si>
  <si>
    <t xml:space="preserve">HKMA Exchange Fund</t>
  </si>
  <si>
    <t xml:space="preserve">Backing Portfolio (highly liquid, backs the HKD currency peg) + Investment Portfolio + Long-Term Growth Portfolio (higher-return global equities, PE, and since 2020 an allocation to Greater Bay Area / Hong Kong strategic investments)</t>
  </si>
  <si>
    <t xml:space="preserve">Primary mandate is currency-board backing (near 100% liquid reserves for the peg), NOT wealth accumulation -- this makes it structurally different from a classic SWF. Since 2020 a small explicit 'Strategic Portfolio' carve-out funds Hong Kong/Greater Bay Area innovation and technology investments.</t>
  </si>
  <si>
    <t xml:space="preserve">Praxis Rock (Apr'26); general knowledge on Exchange Fund structure</t>
  </si>
  <si>
    <t xml:space="preserve">South Korea</t>
  </si>
  <si>
    <t xml:space="preserve">Korea Investment Corporation (KIC)</t>
  </si>
  <si>
    <t xml:space="preserve">Global diversified: public equities, fixed income, alternatives (PE, hedge funds, real assets)</t>
  </si>
  <si>
    <t xml:space="preserve">Modeled explicitly on GIC -- created in 2005 to invest Korea's FX reserves and public-fund assets abroad, and is legally barred from significant domestic investment to avoid conflicts with the Bank of Korea's monetary policy and to avoid distorting Korean capital markets.</t>
  </si>
  <si>
    <t xml:space="preserve">Praxis Rock (Apr'26, firm-reported); general knowledge on founding mandate</t>
  </si>
  <si>
    <t xml:space="preserve">Vietnam</t>
  </si>
  <si>
    <t xml:space="preserve">State Capital Investment Corporation (SCIC)</t>
  </si>
  <si>
    <t xml:space="preserve">Entirely domestic: holds and manages Vietnamese state equity stakes pending eventual partial privatization/divestment</t>
  </si>
  <si>
    <t xml:space="preserve">Explicit domestic mandate by design -- SCIC exists to hold, professionalize governance of, and gradually divest state shares in Vietnamese SOEs (broadly analogous to Malaysia's Khazanah or Kazakhstan's Samruk-Kazyna, though smaller and more divestment-oriented).</t>
  </si>
  <si>
    <t xml:space="preserve">Not precisely re-verified this session; structure is well documented in general sources</t>
  </si>
  <si>
    <t xml:space="preserve">Malaysia</t>
  </si>
  <si>
    <t xml:space="preserve">Khazanah Nasional</t>
  </si>
  <si>
    <t xml:space="preserve">Majority Malaysian strategic holdings (Telekom Malaysia, CIMB, Axiata, IHH Healthcare, etc.) plus a growing international diversification sleeve</t>
  </si>
  <si>
    <t xml:space="preserve">Explicit domestic-strategic mandate: created to hold and actively manage the government's commercial stakes in national champions, with a secondary, smaller mandate (post-2018 reforms) to diversify internationally and reduce concentration risk after large domestic write-downs.</t>
  </si>
  <si>
    <t xml:space="preserve">Praxis Rock (Apr'26, firm-reported); general knowledge on post-2018 reform</t>
  </si>
  <si>
    <t xml:space="preserve">Australia</t>
  </si>
  <si>
    <t xml:space="preserve">Future Fund</t>
  </si>
  <si>
    <t xml:space="preserve">Broadly diversified: global equities, private equity, infrastructure, property, debt, alternative assets -- no home bias built into the benchmark</t>
  </si>
  <si>
    <t xml:space="preserve">Established to fund Australia's public-sector pension liabilities; the mandate is purely a commercial return objective set by the Future Fund Board (currently a long-term target of CPI+4-5%) with no domestic-investment quota or primary-vs-secondary-market rule -- one of the more 'Norway-like' pure-return funds outside Europe.</t>
  </si>
  <si>
    <t xml:space="preserve">General knowledge on mandate structure; AUM per Praxis Rock (Apr'26)</t>
  </si>
  <si>
    <t xml:space="preserve">Ireland</t>
  </si>
  <si>
    <t xml:space="preserve">ISIF + Future Ireland Fund (combined)</t>
  </si>
  <si>
    <t xml:space="preserve">ISIF Discretionary Portfolio (~domestic-weighted, private assets: SMEs, housing, climate infrastructure, life sciences) + smaller Directed Portfolio (AIB/Bank of Ireland legacy stakes) + Future Ireland Fund (global diversified, no domestic requirement)</t>
  </si>
  <si>
    <t xml:space="preserve">ISIF has an explicit, statutory 'double bottom line' mandate -- EVERY investment must generate both a commercial return AND a positive economic impact in Ireland (jobs, indigenous business growth, infrastructure), with an internal target of attracting &gt;EUR1 of private co-investment for every EUR1 it commits. The newer Future Ireland Fund (2024) is the deliberate opposite: pure global financial return, no domestic requirement, withdrawals barred until 2041 -- Ireland runs both models side by side.</t>
  </si>
  <si>
    <t xml:space="preserve">IFSWF Ireland profile; NTMA/ISIF Annual Report 2023-24; Deloitte Ireland 2026 SWF overview</t>
  </si>
  <si>
    <t xml:space="preserve">Indonesia</t>
  </si>
  <si>
    <t xml:space="preserve">Danantara (Daya Anagata Nusantara)</t>
  </si>
  <si>
    <t xml:space="preserve">Consolidated SOE equity stakes (Pertamina, PLN, Bank Mandiri, BNI, BRI, Telkom, MIND ID, etc.) plus growing debt-financed infrastructure allocation</t>
  </si>
  <si>
    <t xml:space="preserve">Explicit domestic mandate -- built by consolidating dividends and equity of Indonesian SOEs, tasked with funding domestic downstream industry and infrastructure. As of mid-2026 it has begun issuing its own domestic bonds ('Patriot'/'Merah Putih') to fund additional liquidity for large projects, a debt-financed-SWF pattern shared with Canada's new fund.</t>
  </si>
  <si>
    <t xml:space="preserve">IEEFA May 2026; GovInsider; general knowledge on 2026 bond issuance</t>
  </si>
  <si>
    <t xml:space="preserve">Oman</t>
  </si>
  <si>
    <t xml:space="preserve">Oman Investment Authority (OIA)</t>
  </si>
  <si>
    <t xml:space="preserve">Split between a domestic development portfolio (Vision 2040 diversification projects: tourism, logistics, downstream energy) and a global financial portfolio</t>
  </si>
  <si>
    <t xml:space="preserve">Formed in 2020 by merging the former State General Reserve Fund and Oman Investment Fund specifically to combine domestic development and international-return mandates under one roof, mirroring the PIF model on a smaller scale.</t>
  </si>
  <si>
    <t xml:space="preserve">Middle East Online, May 2026; general knowledge on 2020 merger, not independently re-verified this session</t>
  </si>
  <si>
    <t xml:space="preserve">Bahrain</t>
  </si>
  <si>
    <t xml:space="preserve">Mumtalakat + Future Generations Reserve Fund</t>
  </si>
  <si>
    <t xml:space="preserve">Mumtalakat: domestic strategic holding company (Aluminium Bahrain/Alba, Gulf Air, Bahrain Telecommunications) plus some international diversification; FGRF: smaller international savings fund</t>
  </si>
  <si>
    <t xml:space="preserve">Mumtalakat is explicitly a domestic holding vehicle for Bahrain's state enterprises (similar model to Khazanah/Samruk-Kazyna), while the separate, smaller FGRF is intended as a more traditional international savings fund -- another two-fund domestic/international split.</t>
  </si>
  <si>
    <t xml:space="preserve">Praxis Rock (Apr'26); general knowledge on Mumtalakat's domestic-holding role</t>
  </si>
  <si>
    <t xml:space="preserve">Brunei</t>
  </si>
  <si>
    <t xml:space="preserve">Brunei Investment Agency (BIA)</t>
  </si>
  <si>
    <t xml:space="preserve">Believed to be a conservative global diversified portfolio (bonds, equities, real estate); no public breakdown</t>
  </si>
  <si>
    <t xml:space="preserve">One of the world's least transparent SWFs -- discloses essentially no information on mandate, allocation, or domestic/international split. Not independently re-verified this session.</t>
  </si>
  <si>
    <t xml:space="preserve">Praxis Rock estimate (Apr'26)</t>
  </si>
  <si>
    <t xml:space="preserve">Australia (Queensland, sub-national)</t>
  </si>
  <si>
    <t xml:space="preserve">QIC</t>
  </si>
  <si>
    <t xml:space="preserve">Specializes in real assets: infrastructure, real estate, private equity, plus liquid multi-asset strategies for Queensland's public pension liabilities</t>
  </si>
  <si>
    <t xml:space="preserve">A state-level (not national) investment manager for Queensland's public-sector pension and insurance liabilities; no domestic-Queensland investment quota, operates as a commercial global asset manager.</t>
  </si>
  <si>
    <t xml:space="preserve">Praxis Rock (Apr'26, A$130bn)</t>
  </si>
  <si>
    <t xml:space="preserve">New Zealand</t>
  </si>
  <si>
    <t xml:space="preserve">NZ Superannuation Fund</t>
  </si>
  <si>
    <t xml:space="preserve">FY 2025</t>
  </si>
  <si>
    <t xml:space="preserve">Global diversified: public/private equities, fixed income, infrastructure, timber, with a Reference Portfolio benchmark of roughly 80% growth assets / 20% fixed income</t>
  </si>
  <si>
    <t xml:space="preserve">Statutory mandate is to 'maximise return without undue risk to the Fund as a whole' -- explicitly NOT directed toward domestic New Zealand investment, though it does hold some NZ assets opportunistically. Maintains a published Responsible Investment exclusion list (tobacco, cluster munitions, whaling, etc.).</t>
  </si>
  <si>
    <t xml:space="preserve">Praxis Rock (Apr'26, firm-reported); general knowledge on statutory mandate wording</t>
  </si>
  <si>
    <t xml:space="preserve">Botswana</t>
  </si>
  <si>
    <t xml:space="preserve">Pula Fund</t>
  </si>
  <si>
    <t xml:space="preserve">Conservative offshore fixed income and equities, managed by the Bank of Botswana as part of the country's foreign reserves</t>
  </si>
  <si>
    <t xml:space="preserve">Held entirely offshore by design, explicitly to prevent diamond-royalty revenue from flooding and distorting Botswana's small domestic economy -- one of the oldest examples (est. 1993/1994) of the 'invest abroad only' resource-fund model that Norway and Timor-Leste later adopted.</t>
  </si>
  <si>
    <t xml:space="preserve">Christopher Sanchez &amp; Co. Aug-2025 (Bank of Botswana); a lower $1.92bn figure also circulates in some African press -- discrepancy unresolved</t>
  </si>
  <si>
    <t xml:space="preserve">Ghana</t>
  </si>
  <si>
    <t xml:space="preserve">Ghana Petroleum Funds (Heritage + Stabilisation)</t>
  </si>
  <si>
    <t xml:space="preserve">Heritage Fund: long-term savings, invested in low-risk foreign fixed income; Stabilisation Fund: liquid, used to smooth budget shortfalls when oil revenue falls below the benchmark price</t>
  </si>
  <si>
    <t xml:space="preserve">Both funds are statutorily invested offshore under the Petroleum Revenue Management Act, with fixed allocation rules for how oil revenue is split between the Annual Budget Funding Amount, Stabilisation Fund, and Heritage Fund (roughly 70/21/9 in recent years, though the split has shifted).</t>
  </si>
  <si>
    <t xml:space="preserve">BusinessDay NG description of structure; no precise current AUM found -- treat as small</t>
  </si>
  <si>
    <t xml:space="preserve">Zimbabwe</t>
  </si>
  <si>
    <t xml:space="preserve">Mutapa Investment Fund</t>
  </si>
  <si>
    <t xml:space="preserve">Jun-2024</t>
  </si>
  <si>
    <t xml:space="preserve">Entirely domestic: consolidated equity stakes in Zimbabwean SOEs (mining -- e.g. a stake in diamond and platinum operations -- telecoms, and financial institutions)</t>
  </si>
  <si>
    <t xml:space="preserve">Explicit domestic holding-company mandate, created in 2023 by consolidating dozens of SOEs into one vehicle (again, the Khazanah/Samruk-Kazyna model), intended to professionalize management and eventually attract co-investment into Zimbabwean state assets.</t>
  </si>
  <si>
    <t xml:space="preserve">Christopher Sanchez &amp; Co. Aug-2025 (gross assets)</t>
  </si>
  <si>
    <t xml:space="preserve">Canada (Alberta, sub-national)</t>
  </si>
  <si>
    <t xml:space="preserve">Alberta Heritage Savings Trust Fund</t>
  </si>
  <si>
    <t xml:space="preserve">Diversified global public/private equities, fixed income, real estate, and infrastructure, managed by AIMCo</t>
  </si>
  <si>
    <t xml:space="preserve">No domestic-Alberta investment quota; income is transferred annually to Alberta's general government revenue rather than reinvested, which has historically limited the fund's real growth compared with Norway's or Alaska's reinvestment-heavy models.</t>
  </si>
  <si>
    <t xml:space="preserve">Praxis Rock (Apr'26, firm-reported); general knowledge on income-transfer rule</t>
  </si>
  <si>
    <t xml:space="preserve">USA (Alaska, sub-national)</t>
  </si>
  <si>
    <t xml:space="preserve">Alaska Permanent Fund Corporation (APFC)</t>
  </si>
  <si>
    <t xml:space="preserve">Global diversified: public equities, fixed income, private equity, real estate, infrastructure, absolute return strategies</t>
  </si>
  <si>
    <t xml:space="preserve">Constitutionally protected principal (at least 25% of mineral royalties must be deposited and cannot be spent). Best known for the annual Permanent Fund Dividend paid directly to every Alaska resident (a distinctive citizen-dividend mandate shared by very few other funds, notably Macondo-style proposals elsewhere). Maintains a small, explicit 'in-state' investment allocation targeting Alaska-based businesses, though this remains a minor share of the overall portfolio.</t>
  </si>
  <si>
    <t xml:space="preserve">General knowledge (dividend mechanism and in-state program are well documented); AUM per Praxis Rock (Apr'26)</t>
  </si>
  <si>
    <t xml:space="preserve">USA (Texas, sub-national)</t>
  </si>
  <si>
    <t xml:space="preserve">Texas Permanent School Fund</t>
  </si>
  <si>
    <t xml:space="preserve">FY2025</t>
  </si>
  <si>
    <t xml:space="preserve">Diversified public/private equities, fixed income, real assets; also guarantees Texas school-district bonds via its AAA credit</t>
  </si>
  <si>
    <t xml:space="preserve">Constitutionally dedicated to funding Texas public education (K-12); a portion of returns is distributed annually to the state's Available School Fund. A distinctive secondary function is using the Fund's own credit rating to guarantee local school district bond issuances, lowering their borrowing costs -- a domestic-guarantee mechanism not seen in most SWFs.</t>
  </si>
  <si>
    <t xml:space="preserve">Praxis Rock (Apr'26, firm-reported); general knowledge on bond-guarantee program</t>
  </si>
  <si>
    <t xml:space="preserve">Trinidad and Tobago</t>
  </si>
  <si>
    <t xml:space="preserve">Heritage and Stabilisation Fund (HSF)</t>
  </si>
  <si>
    <t xml:space="preserve">Sep-2024</t>
  </si>
  <si>
    <t xml:space="preserve">Conservative global fixed income and equities (roughly 65% bonds / 35% equities in recent allocations), externally managed</t>
  </si>
  <si>
    <t xml:space="preserve">Rules-based withdrawal mechanism tied to actual vs. budgeted energy revenue (withdrawals permitted only when energy revenue falls more than 10% below the budgeted estimate), invested entirely offshore.</t>
  </si>
  <si>
    <t xml:space="preserve">Christopher Sanchez &amp; Co. Aug-2025 (official NAV); general knowledge on withdrawal rule</t>
  </si>
  <si>
    <t xml:space="preserve">Guyana</t>
  </si>
  <si>
    <t xml:space="preserve">Natural Resource Fund (NRF)</t>
  </si>
  <si>
    <t xml:space="preserve">Currently very conservative -- primarily US Treasury and other investment-grade fixed income; the 2021 NRF Act allows for a broader mandate (including equities) but the fund remains fixed-income-heavy given its youth and ongoing governance debates</t>
  </si>
  <si>
    <t xml:space="preserve">By law invested offshore; withdrawal rules link transfers to the state budget to a formula based on prior-year oil revenue, with parliamentary oversight requirements. Younger and less institutionally tested than most peers -- GDP itself is highly volatile due to the recent offshore oil boom, making the AUM/GDP ratio unusually unstable.</t>
  </si>
  <si>
    <t xml:space="preserve">Christopher Sanchez &amp; Co. Aug-2025</t>
  </si>
  <si>
    <t xml:space="preserve">Chile</t>
  </si>
  <si>
    <t xml:space="preserve">Economic and Social Stabilization Fund (ESSF)</t>
  </si>
  <si>
    <t xml:space="preserve">Historically conservative fixed income with a smaller equity sleeve, managed by the Central Bank of Chile under Finance Ministry guidelines</t>
  </si>
  <si>
    <t xml:space="preserve">Funded by copper-revenue surpluses above a structural-balance fiscal rule; invested entirely offshore. Balance has shrunk substantially after repeated large drawdowns (notably pandemic-era and pension-related withdrawals), reducing it from a peak well above current levels.</t>
  </si>
  <si>
    <t xml:space="preserve">Mexico</t>
  </si>
  <si>
    <t xml:space="preserve">FEIP + FEIEF (fiscal stabilisation funds)</t>
  </si>
  <si>
    <t xml:space="preserve">Conservative peso/dollar short-duration instruments</t>
  </si>
  <si>
    <t xml:space="preserve">Both are narrow fiscal-stabilization vehicles (oil-price and revenue-shortfall buffers) rather than long-term wealth funds; balances have been repeatedly drawn down for budget support, leaving them far smaller than their original design envisioned.</t>
  </si>
  <si>
    <t xml:space="preserve">Christopher Sanchez &amp; Co. Aug-2025: balances diminished after repeated drawdowns, below $1bn</t>
  </si>
  <si>
    <t xml:space="preserve">Turkey</t>
  </si>
  <si>
    <t xml:space="preserve">Turkiye Wealth Fund (TWF)</t>
  </si>
  <si>
    <t xml:space="preserve">Entirely domestic: equity stakes in Turkish Airlines, Borsa Istanbul (the stock exchange itself), Ziraat Bank, Halkbank, Turkish Petroleum, and other transferred SOEs</t>
  </si>
  <si>
    <t xml:space="preserve">Explicit domestic-strategic mandate -- capitalized not from resource revenue but by transferring ownership of major Turkish SOEs into the fund by presidential decree, then using that balance sheet to raise its own debt (Eurobonds, sukuk, syndicated loans) for further domestic mega-projects (e.g. Istanbul Financial Center, Kanal Istanbul-adjacent development). Widely criticized by opposition and outside analysts for limited transparency and for channeling capital toward politically-favored projects.</t>
  </si>
  <si>
    <t xml:space="preserve">Wikipedia/WEF/Anadolu, general knowledge; not independently re-verified this session</t>
  </si>
  <si>
    <t xml:space="preserve">France*</t>
  </si>
  <si>
    <t xml:space="preserve">Caisse des Depots et Consignations (CDC)</t>
  </si>
  <si>
    <t xml:space="preserve">No</t>
  </si>
  <si>
    <t xml:space="preserve">Overwhelmingly domestic: French SME financing, social/affordable housing, local-authority infrastructure lending, plus equity stakes held via its subsidiary Bpifrance</t>
  </si>
  <si>
    <t xml:space="preserve">*NOT a Santiago-Principles SWF. Funded by mandatory deposits of French notaries' and savings-bank (Livret A) funds rather than a resource surplus or reserve accumulation; legally required to invest predominantly in France in support of public-interest missions (housing, regional development, ecological transition) -- essentially the opposite mandate of Norway's fund.</t>
  </si>
  <si>
    <t xml:space="preserve">Praxis Rock (Apr'26); general knowledge on CDC's public-interest domestic mandate</t>
  </si>
  <si>
    <t xml:space="preserve">Italy*</t>
  </si>
  <si>
    <t xml:space="preserve">Cassa Depositi e Prestiti (CDP)</t>
  </si>
  <si>
    <t xml:space="preserve">Overwhelmingly domestic: Italian SME and infrastructure lending, export-credit support, equity stakes in strategic Italian companies (formerly held stakes in Eni, Terna, Snam, etc.)</t>
  </si>
  <si>
    <t xml:space="preserve">*NOT a Santiago-Principles SWF. Funded primarily by Italian postal savings deposits (Cassa's historic postal-savings mandate), legally directed toward domestic infrastructure and SME financing -- structurally analogous to France's CDC.</t>
  </si>
  <si>
    <t xml:space="preserve">Praxis Rock (Apr'26); general knowledge on CDP's postal-savings-funded domestic mandate</t>
  </si>
  <si>
    <t xml:space="preserve">WORLD TOTAL</t>
  </si>
  <si>
    <t xml:space="preserve">Sum of funds flagged 'Yes' in World Total column</t>
  </si>
  <si>
    <t xml:space="preserve">World GDP ~$110tn is an order-of-magnitude estimate (not verified this session). Total excludes rows flagged 'No' (subset/duplicate entries and non-SWF institutions) to avoid double-counting.</t>
  </si>
  <si>
    <t xml:space="preserve">Sourcing and methodology notes</t>
  </si>
  <si>
    <t xml:space="preserve">Sources: SWFI, Global SWF, IFSWF, Wikipedia, Praxis Rock SWF Directory (verified Apr-2026), Christopher Sanchez &amp; Co.</t>
  </si>
  <si>
    <t xml:space="preserve">report (Aug-2025), national fund/ministry sources and annual reports (Norges Bank/NBIM, PIF, ISIF/NTMA, Timor-Leste</t>
  </si>
  <si>
    <t xml:space="preserve">Petroleum Fund Administration Unit, US State Dept Investment Climate Statements), and press reporting (July 2026 searches).</t>
  </si>
  <si>
    <t xml:space="preserve">General caveats:</t>
  </si>
  <si>
    <t xml:space="preserve">- GDP figures are approximate nominal GDP (order of magnitude, not verified line-by-line for every country).</t>
  </si>
  <si>
    <t xml:space="preserve">- Rows shaded yellow = Low confidence on the AUM/GDP figures specifically (not independently re-verified this session).</t>
  </si>
  <si>
    <t xml:space="preserve">  Note this shading applies to the financial data columns; several Mandate/Restrictions entries for otherwise</t>
  </si>
  <si>
    <t xml:space="preserve">  High-confidence rows are still marked in-text as general knowledge not re-verified this session where applicable.</t>
  </si>
  <si>
    <t xml:space="preserve">- Some entities (France's CDC, Italy's CDP) are public investment institutions sometimes grouped with SWFs but are</t>
  </si>
  <si>
    <t xml:space="preserve">  not strict Santiago-Principles sovereign wealth funds -- flagged with an asterisk and excluded from the WORLD TOTAL.</t>
  </si>
  <si>
    <t xml:space="preserve">- The 'In World Total?' column marks Yes/No for inclusion in the WORLD TOTAL row, to avoid double-counting subset rows.</t>
  </si>
  <si>
    <t xml:space="preserve">- Asset allocation and mandate details vary enormously in how well each fund discloses them. Norway, Saudi PIF, Ireland,</t>
  </si>
  <si>
    <t xml:space="preserve">  and Timor-Leste have detailed, well-sourced entries drawn from primary documents found this session. Many smaller</t>
  </si>
  <si>
    <t xml:space="preserve">  or less transparent funds (Brunei, Iran, Ghana, Chile, Mexico, Vietnam, etc.) rely on general knowledge rather than</t>
  </si>
  <si>
    <t xml:space="preserve">  session-verified sources -- treat those mandate descriptions as directional, not authoritative, and flag for a</t>
  </si>
  <si>
    <t xml:space="preserve">  dedicated follow-up search if precision matters for your work.</t>
  </si>
</sst>
</file>

<file path=xl/styles.xml><?xml version="1.0" encoding="utf-8"?>
<styleSheet xmlns="http://schemas.openxmlformats.org/spreadsheetml/2006/main">
  <numFmts count="3">
    <numFmt numFmtId="164" formatCode="General"/>
    <numFmt numFmtId="165" formatCode="#,##0.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color rgb="FF0000FF"/>
      <name val="Arial"/>
      <family val="0"/>
      <charset val="1"/>
    </font>
    <font>
      <i val="true"/>
      <sz val="9"/>
      <color rgb="FF7F7F7F"/>
      <name val="Arial"/>
      <family val="0"/>
      <charset val="1"/>
    </font>
    <font>
      <b val="true"/>
      <sz val="10"/>
      <name val="Arial"/>
      <family val="0"/>
      <charset val="1"/>
    </font>
    <font>
      <b val="true"/>
      <sz val="14"/>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FFFFF"/>
      </patternFill>
    </fill>
    <fill>
      <patternFill patternType="solid">
        <fgColor rgb="FFBDD7EE"/>
        <bgColor rgb="FF99CC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5" fontId="6" fillId="3" borderId="1" xfId="0" applyFont="true" applyBorder="true" applyAlignment="true" applyProtection="false">
      <alignment horizontal="general" vertical="top" textRotation="0" wrapText="false" indent="0" shrinkToFit="false"/>
      <protection locked="true" hidden="false"/>
    </xf>
    <xf numFmtId="166"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5" fontId="8" fillId="4"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34"/>
    <col collapsed="false" customWidth="true" hidden="false" outlineLevel="0" max="4" min="4" style="0" width="12"/>
    <col collapsed="false" customWidth="true" hidden="false" outlineLevel="0" max="6" min="5" style="0" width="14"/>
    <col collapsed="false" customWidth="true" hidden="false" outlineLevel="0" max="7" min="7" style="0" width="11"/>
    <col collapsed="false" customWidth="true" hidden="false" outlineLevel="0" max="9" min="8" style="0" width="10"/>
    <col collapsed="false" customWidth="true" hidden="false" outlineLevel="0" max="10" min="10" style="0" width="44"/>
    <col collapsed="false" customWidth="true" hidden="false" outlineLevel="0" max="11" min="11" style="0" width="55"/>
    <col collapsed="false" customWidth="true" hidden="false" outlineLevel="0" max="12" min="12" style="0" width="42"/>
  </cols>
  <sheetData>
    <row r="1" customFormat="false" ht="23.85" hidden="false" customHeight="false" outlineLevel="0" collapsed="false">
      <c r="A1" s="1" t="s">
        <v>0</v>
      </c>
      <c r="B1" s="1" t="s">
        <v>1</v>
      </c>
      <c r="C1" s="1" t="s">
        <v>2</v>
      </c>
      <c r="D1" s="1" t="s">
        <v>3</v>
      </c>
      <c r="E1" s="1" t="s">
        <v>4</v>
      </c>
      <c r="F1" s="1" t="s">
        <v>5</v>
      </c>
      <c r="G1" s="1" t="s">
        <v>6</v>
      </c>
      <c r="H1" s="1" t="s">
        <v>7</v>
      </c>
      <c r="I1" s="1" t="s">
        <v>8</v>
      </c>
      <c r="J1" s="1" t="s">
        <v>9</v>
      </c>
      <c r="K1" s="1" t="s">
        <v>10</v>
      </c>
      <c r="L1" s="1" t="s">
        <v>11</v>
      </c>
    </row>
    <row r="2" customFormat="false" ht="79.85" hidden="false" customHeight="false" outlineLevel="0" collapsed="false">
      <c r="A2" s="2" t="s">
        <v>12</v>
      </c>
      <c r="B2" s="2" t="s">
        <v>13</v>
      </c>
      <c r="C2" s="2" t="s">
        <v>14</v>
      </c>
      <c r="D2" s="3" t="n">
        <v>2100</v>
      </c>
      <c r="E2" s="2" t="s">
        <v>15</v>
      </c>
      <c r="F2" s="3" t="n">
        <v>485</v>
      </c>
      <c r="G2" s="4" t="n">
        <f aca="false">D2/F2</f>
        <v>4.3298969072165</v>
      </c>
      <c r="H2" s="2" t="s">
        <v>16</v>
      </c>
      <c r="I2" s="2" t="s">
        <v>17</v>
      </c>
      <c r="J2" s="5" t="s">
        <v>18</v>
      </c>
      <c r="K2" s="5" t="s">
        <v>19</v>
      </c>
      <c r="L2" s="6" t="s">
        <v>20</v>
      </c>
    </row>
    <row r="3" customFormat="false" ht="79.85" hidden="false" customHeight="false" outlineLevel="0" collapsed="false">
      <c r="A3" s="2" t="s">
        <v>21</v>
      </c>
      <c r="B3" s="2" t="s">
        <v>22</v>
      </c>
      <c r="C3" s="2" t="s">
        <v>23</v>
      </c>
      <c r="D3" s="3" t="n">
        <v>2010</v>
      </c>
      <c r="E3" s="2" t="s">
        <v>24</v>
      </c>
      <c r="F3" s="3" t="n">
        <v>540</v>
      </c>
      <c r="G3" s="4" t="n">
        <f aca="false">D3/F3</f>
        <v>3.72222222222222</v>
      </c>
      <c r="H3" s="2" t="s">
        <v>16</v>
      </c>
      <c r="I3" s="2" t="s">
        <v>17</v>
      </c>
      <c r="J3" s="5" t="s">
        <v>25</v>
      </c>
      <c r="K3" s="5" t="s">
        <v>26</v>
      </c>
      <c r="L3" s="6" t="s">
        <v>27</v>
      </c>
    </row>
    <row r="4" customFormat="false" ht="57.45" hidden="false" customHeight="false" outlineLevel="0" collapsed="false">
      <c r="A4" s="2" t="s">
        <v>21</v>
      </c>
      <c r="B4" s="2" t="s">
        <v>28</v>
      </c>
      <c r="C4" s="2" t="s">
        <v>29</v>
      </c>
      <c r="D4" s="3" t="n">
        <v>525</v>
      </c>
      <c r="E4" s="2" t="s">
        <v>24</v>
      </c>
      <c r="F4" s="3" t="n">
        <v>220</v>
      </c>
      <c r="G4" s="4" t="n">
        <f aca="false">D4/F4</f>
        <v>2.38636363636364</v>
      </c>
      <c r="H4" s="2" t="s">
        <v>16</v>
      </c>
      <c r="I4" s="2" t="s">
        <v>17</v>
      </c>
      <c r="J4" s="5" t="s">
        <v>30</v>
      </c>
      <c r="K4" s="5" t="s">
        <v>31</v>
      </c>
      <c r="L4" s="6" t="s">
        <v>32</v>
      </c>
    </row>
    <row r="5" customFormat="false" ht="57.45" hidden="false" customHeight="false" outlineLevel="0" collapsed="false">
      <c r="A5" s="2" t="s">
        <v>21</v>
      </c>
      <c r="B5" s="2" t="s">
        <v>33</v>
      </c>
      <c r="C5" s="2" t="s">
        <v>34</v>
      </c>
      <c r="D5" s="3" t="n">
        <v>1030</v>
      </c>
      <c r="E5" s="2" t="s">
        <v>24</v>
      </c>
      <c r="F5" s="3" t="n">
        <v>160</v>
      </c>
      <c r="G5" s="4" t="n">
        <f aca="false">D5/F5</f>
        <v>6.4375</v>
      </c>
      <c r="H5" s="2" t="s">
        <v>16</v>
      </c>
      <c r="I5" s="2" t="s">
        <v>17</v>
      </c>
      <c r="J5" s="5" t="s">
        <v>35</v>
      </c>
      <c r="K5" s="5" t="s">
        <v>36</v>
      </c>
      <c r="L5" s="6" t="s">
        <v>37</v>
      </c>
    </row>
    <row r="6" customFormat="false" ht="79.85" hidden="false" customHeight="false" outlineLevel="0" collapsed="false">
      <c r="A6" s="2" t="s">
        <v>38</v>
      </c>
      <c r="B6" s="2" t="s">
        <v>39</v>
      </c>
      <c r="C6" s="2" t="s">
        <v>40</v>
      </c>
      <c r="D6" s="3" t="n">
        <v>1660</v>
      </c>
      <c r="E6" s="2" t="s">
        <v>41</v>
      </c>
      <c r="F6" s="3" t="n">
        <v>525</v>
      </c>
      <c r="G6" s="4" t="n">
        <f aca="false">D6/F6</f>
        <v>3.16190476190476</v>
      </c>
      <c r="H6" s="2" t="s">
        <v>42</v>
      </c>
      <c r="I6" s="2" t="s">
        <v>17</v>
      </c>
      <c r="J6" s="5" t="s">
        <v>43</v>
      </c>
      <c r="K6" s="5" t="s">
        <v>44</v>
      </c>
      <c r="L6" s="6" t="s">
        <v>45</v>
      </c>
    </row>
    <row r="7" customFormat="false" ht="79.85" hidden="false" customHeight="false" outlineLevel="0" collapsed="false">
      <c r="A7" s="2" t="s">
        <v>21</v>
      </c>
      <c r="B7" s="2" t="s">
        <v>46</v>
      </c>
      <c r="C7" s="2" t="s">
        <v>47</v>
      </c>
      <c r="D7" s="3" t="n">
        <v>900</v>
      </c>
      <c r="E7" s="2" t="s">
        <v>24</v>
      </c>
      <c r="F7" s="3" t="n">
        <v>1100</v>
      </c>
      <c r="G7" s="4" t="n">
        <f aca="false">D7/F7</f>
        <v>0.818181818181818</v>
      </c>
      <c r="H7" s="2" t="s">
        <v>16</v>
      </c>
      <c r="I7" s="2" t="s">
        <v>17</v>
      </c>
      <c r="J7" s="5" t="s">
        <v>48</v>
      </c>
      <c r="K7" s="5" t="s">
        <v>49</v>
      </c>
      <c r="L7" s="6" t="s">
        <v>50</v>
      </c>
    </row>
    <row r="8" customFormat="false" ht="79.85" hidden="false" customHeight="false" outlineLevel="0" collapsed="false">
      <c r="A8" s="2" t="s">
        <v>38</v>
      </c>
      <c r="B8" s="2" t="s">
        <v>51</v>
      </c>
      <c r="C8" s="2" t="s">
        <v>52</v>
      </c>
      <c r="D8" s="3" t="n">
        <v>19</v>
      </c>
      <c r="E8" s="2" t="s">
        <v>53</v>
      </c>
      <c r="F8" s="3" t="n">
        <v>2</v>
      </c>
      <c r="G8" s="4" t="n">
        <f aca="false">D8/F8</f>
        <v>9.5</v>
      </c>
      <c r="H8" s="2" t="s">
        <v>42</v>
      </c>
      <c r="I8" s="2" t="s">
        <v>17</v>
      </c>
      <c r="J8" s="5" t="s">
        <v>54</v>
      </c>
      <c r="K8" s="5" t="s">
        <v>55</v>
      </c>
      <c r="L8" s="6" t="s">
        <v>56</v>
      </c>
    </row>
    <row r="9" customFormat="false" ht="46.25" hidden="false" customHeight="false" outlineLevel="0" collapsed="false">
      <c r="A9" s="7" t="s">
        <v>38</v>
      </c>
      <c r="B9" s="7" t="s">
        <v>57</v>
      </c>
      <c r="C9" s="7" t="s">
        <v>58</v>
      </c>
      <c r="D9" s="8" t="n">
        <v>1.5</v>
      </c>
      <c r="E9" s="7" t="s">
        <v>59</v>
      </c>
      <c r="F9" s="8" t="n">
        <v>0.28</v>
      </c>
      <c r="G9" s="9" t="n">
        <f aca="false">D9/F9</f>
        <v>5.35714285714286</v>
      </c>
      <c r="H9" s="7" t="s">
        <v>60</v>
      </c>
      <c r="I9" s="7" t="s">
        <v>17</v>
      </c>
      <c r="J9" s="10" t="s">
        <v>61</v>
      </c>
      <c r="K9" s="10" t="s">
        <v>62</v>
      </c>
      <c r="L9" s="11" t="s">
        <v>63</v>
      </c>
    </row>
    <row r="10" customFormat="false" ht="57.45" hidden="false" customHeight="false" outlineLevel="0" collapsed="false">
      <c r="A10" s="2" t="s">
        <v>64</v>
      </c>
      <c r="B10" s="2" t="s">
        <v>65</v>
      </c>
      <c r="C10" s="2" t="s">
        <v>66</v>
      </c>
      <c r="D10" s="3" t="n">
        <v>20</v>
      </c>
      <c r="E10" s="2" t="s">
        <v>67</v>
      </c>
      <c r="F10" s="3" t="n">
        <v>2200</v>
      </c>
      <c r="G10" s="4" t="n">
        <f aca="false">D10/F10</f>
        <v>0.00909090909090909</v>
      </c>
      <c r="H10" s="2" t="s">
        <v>42</v>
      </c>
      <c r="I10" s="2" t="s">
        <v>17</v>
      </c>
      <c r="J10" s="5" t="s">
        <v>68</v>
      </c>
      <c r="K10" s="5" t="s">
        <v>69</v>
      </c>
      <c r="L10" s="6" t="s">
        <v>70</v>
      </c>
    </row>
    <row r="11" customFormat="false" ht="68.65" hidden="false" customHeight="false" outlineLevel="0" collapsed="false">
      <c r="A11" s="2" t="s">
        <v>71</v>
      </c>
      <c r="B11" s="2" t="s">
        <v>72</v>
      </c>
      <c r="C11" s="2" t="s">
        <v>73</v>
      </c>
      <c r="D11" s="3" t="n">
        <v>190</v>
      </c>
      <c r="E11" s="2" t="s">
        <v>74</v>
      </c>
      <c r="F11" s="3" t="n">
        <v>2200</v>
      </c>
      <c r="G11" s="4" t="n">
        <f aca="false">D11/F11</f>
        <v>0.0863636363636364</v>
      </c>
      <c r="H11" s="2" t="s">
        <v>42</v>
      </c>
      <c r="I11" s="2" t="s">
        <v>17</v>
      </c>
      <c r="J11" s="5" t="s">
        <v>75</v>
      </c>
      <c r="K11" s="5" t="s">
        <v>76</v>
      </c>
      <c r="L11" s="6" t="s">
        <v>77</v>
      </c>
    </row>
    <row r="12" customFormat="false" ht="57.45" hidden="false" customHeight="false" outlineLevel="0" collapsed="false">
      <c r="A12" s="2" t="s">
        <v>71</v>
      </c>
      <c r="B12" s="2" t="s">
        <v>78</v>
      </c>
      <c r="C12" s="2" t="s">
        <v>79</v>
      </c>
      <c r="D12" s="3" t="n">
        <v>66.2</v>
      </c>
      <c r="E12" s="2" t="s">
        <v>80</v>
      </c>
      <c r="F12" s="3" t="n">
        <v>256</v>
      </c>
      <c r="G12" s="4" t="n">
        <f aca="false">D12/F12</f>
        <v>0.25859375</v>
      </c>
      <c r="H12" s="2" t="s">
        <v>16</v>
      </c>
      <c r="I12" s="2" t="s">
        <v>17</v>
      </c>
      <c r="J12" s="5" t="s">
        <v>81</v>
      </c>
      <c r="K12" s="5" t="s">
        <v>82</v>
      </c>
      <c r="L12" s="6" t="s">
        <v>83</v>
      </c>
    </row>
    <row r="13" customFormat="false" ht="46.25" hidden="false" customHeight="false" outlineLevel="0" collapsed="false">
      <c r="A13" s="2" t="s">
        <v>71</v>
      </c>
      <c r="B13" s="2" t="s">
        <v>84</v>
      </c>
      <c r="C13" s="2" t="s">
        <v>85</v>
      </c>
      <c r="D13" s="3" t="n">
        <v>69</v>
      </c>
      <c r="E13" s="2" t="s">
        <v>24</v>
      </c>
      <c r="F13" s="3" t="n">
        <v>340</v>
      </c>
      <c r="G13" s="4" t="n">
        <f aca="false">D13/F13</f>
        <v>0.202941176470588</v>
      </c>
      <c r="H13" s="2" t="s">
        <v>42</v>
      </c>
      <c r="I13" s="2" t="s">
        <v>17</v>
      </c>
      <c r="J13" s="5" t="s">
        <v>86</v>
      </c>
      <c r="K13" s="5" t="s">
        <v>87</v>
      </c>
      <c r="L13" s="6" t="s">
        <v>88</v>
      </c>
    </row>
    <row r="14" customFormat="false" ht="46.25" hidden="false" customHeight="false" outlineLevel="0" collapsed="false">
      <c r="A14" s="2" t="s">
        <v>21</v>
      </c>
      <c r="B14" s="2" t="s">
        <v>89</v>
      </c>
      <c r="C14" s="2" t="s">
        <v>90</v>
      </c>
      <c r="D14" s="3" t="n">
        <v>70</v>
      </c>
      <c r="E14" s="2" t="s">
        <v>91</v>
      </c>
      <c r="F14" s="3" t="n">
        <v>45</v>
      </c>
      <c r="G14" s="4" t="n">
        <f aca="false">D14/F14</f>
        <v>1.55555555555556</v>
      </c>
      <c r="H14" s="2" t="s">
        <v>42</v>
      </c>
      <c r="I14" s="2" t="s">
        <v>17</v>
      </c>
      <c r="J14" s="5" t="s">
        <v>92</v>
      </c>
      <c r="K14" s="5" t="s">
        <v>93</v>
      </c>
      <c r="L14" s="6" t="s">
        <v>94</v>
      </c>
    </row>
    <row r="15" customFormat="false" ht="57.45" hidden="false" customHeight="false" outlineLevel="0" collapsed="false">
      <c r="A15" s="2" t="s">
        <v>95</v>
      </c>
      <c r="B15" s="2" t="s">
        <v>96</v>
      </c>
      <c r="C15" s="2" t="s">
        <v>97</v>
      </c>
      <c r="D15" s="3" t="n">
        <v>2.5</v>
      </c>
      <c r="E15" s="2" t="s">
        <v>80</v>
      </c>
      <c r="F15" s="3" t="n">
        <v>100</v>
      </c>
      <c r="G15" s="4" t="n">
        <f aca="false">D15/F15</f>
        <v>0.025</v>
      </c>
      <c r="H15" s="2" t="s">
        <v>42</v>
      </c>
      <c r="I15" s="2" t="s">
        <v>17</v>
      </c>
      <c r="J15" s="5" t="s">
        <v>98</v>
      </c>
      <c r="K15" s="5" t="s">
        <v>99</v>
      </c>
      <c r="L15" s="6" t="s">
        <v>100</v>
      </c>
    </row>
    <row r="16" customFormat="false" ht="57.45" hidden="false" customHeight="false" outlineLevel="0" collapsed="false">
      <c r="A16" s="2" t="s">
        <v>95</v>
      </c>
      <c r="B16" s="2" t="s">
        <v>101</v>
      </c>
      <c r="C16" s="2" t="s">
        <v>102</v>
      </c>
      <c r="D16" s="3" t="n">
        <v>3.2</v>
      </c>
      <c r="E16" s="2" t="s">
        <v>41</v>
      </c>
      <c r="F16" s="3" t="n">
        <v>390</v>
      </c>
      <c r="G16" s="4" t="n">
        <f aca="false">D16/F16</f>
        <v>0.00820512820512821</v>
      </c>
      <c r="H16" s="2" t="s">
        <v>42</v>
      </c>
      <c r="I16" s="2" t="s">
        <v>17</v>
      </c>
      <c r="J16" s="5" t="s">
        <v>103</v>
      </c>
      <c r="K16" s="5" t="s">
        <v>104</v>
      </c>
      <c r="L16" s="6" t="s">
        <v>105</v>
      </c>
    </row>
    <row r="17" customFormat="false" ht="57.45" hidden="false" customHeight="false" outlineLevel="0" collapsed="false">
      <c r="A17" s="7" t="s">
        <v>21</v>
      </c>
      <c r="B17" s="7" t="s">
        <v>106</v>
      </c>
      <c r="C17" s="7" t="s">
        <v>107</v>
      </c>
      <c r="D17" s="8" t="n">
        <v>10</v>
      </c>
      <c r="E17" s="7" t="s">
        <v>108</v>
      </c>
      <c r="F17" s="8" t="n">
        <v>400</v>
      </c>
      <c r="G17" s="9" t="n">
        <f aca="false">D17/F17</f>
        <v>0.025</v>
      </c>
      <c r="H17" s="7" t="s">
        <v>60</v>
      </c>
      <c r="I17" s="7" t="s">
        <v>17</v>
      </c>
      <c r="J17" s="10" t="s">
        <v>109</v>
      </c>
      <c r="K17" s="10" t="s">
        <v>110</v>
      </c>
      <c r="L17" s="11" t="s">
        <v>111</v>
      </c>
    </row>
    <row r="18" customFormat="false" ht="57.45" hidden="false" customHeight="false" outlineLevel="0" collapsed="false">
      <c r="A18" s="2" t="s">
        <v>71</v>
      </c>
      <c r="B18" s="2" t="s">
        <v>112</v>
      </c>
      <c r="C18" s="2" t="s">
        <v>113</v>
      </c>
      <c r="D18" s="3" t="n">
        <v>60</v>
      </c>
      <c r="E18" s="2" t="s">
        <v>114</v>
      </c>
      <c r="F18" s="3" t="n">
        <v>78</v>
      </c>
      <c r="G18" s="4" t="n">
        <f aca="false">D18/F18</f>
        <v>0.769230769230769</v>
      </c>
      <c r="H18" s="2" t="s">
        <v>16</v>
      </c>
      <c r="I18" s="2" t="s">
        <v>17</v>
      </c>
      <c r="J18" s="5" t="s">
        <v>115</v>
      </c>
      <c r="K18" s="5" t="s">
        <v>116</v>
      </c>
      <c r="L18" s="6" t="s">
        <v>117</v>
      </c>
    </row>
    <row r="19" customFormat="false" ht="68.65" hidden="false" customHeight="false" outlineLevel="0" collapsed="false">
      <c r="A19" s="2" t="s">
        <v>38</v>
      </c>
      <c r="B19" s="2" t="s">
        <v>118</v>
      </c>
      <c r="C19" s="2" t="s">
        <v>119</v>
      </c>
      <c r="D19" s="3" t="n">
        <v>2700</v>
      </c>
      <c r="E19" s="2" t="s">
        <v>120</v>
      </c>
      <c r="F19" s="3" t="n">
        <v>19000</v>
      </c>
      <c r="G19" s="4" t="n">
        <f aca="false">D19/F19</f>
        <v>0.142105263157895</v>
      </c>
      <c r="H19" s="2" t="s">
        <v>121</v>
      </c>
      <c r="I19" s="2" t="s">
        <v>17</v>
      </c>
      <c r="J19" s="5" t="s">
        <v>122</v>
      </c>
      <c r="K19" s="5" t="s">
        <v>123</v>
      </c>
      <c r="L19" s="6" t="s">
        <v>124</v>
      </c>
    </row>
    <row r="20" customFormat="false" ht="57.45" hidden="false" customHeight="false" outlineLevel="0" collapsed="false">
      <c r="A20" s="2" t="s">
        <v>38</v>
      </c>
      <c r="B20" s="2" t="s">
        <v>125</v>
      </c>
      <c r="C20" s="2" t="s">
        <v>126</v>
      </c>
      <c r="D20" s="3" t="n">
        <v>531</v>
      </c>
      <c r="E20" s="2" t="s">
        <v>15</v>
      </c>
      <c r="F20" s="3" t="n">
        <v>400</v>
      </c>
      <c r="G20" s="4" t="n">
        <f aca="false">D20/F20</f>
        <v>1.3275</v>
      </c>
      <c r="H20" s="2" t="s">
        <v>16</v>
      </c>
      <c r="I20" s="2" t="s">
        <v>17</v>
      </c>
      <c r="J20" s="5" t="s">
        <v>127</v>
      </c>
      <c r="K20" s="5" t="s">
        <v>128</v>
      </c>
      <c r="L20" s="6" t="s">
        <v>129</v>
      </c>
    </row>
    <row r="21" customFormat="false" ht="57.45" hidden="false" customHeight="false" outlineLevel="0" collapsed="false">
      <c r="A21" s="2" t="s">
        <v>38</v>
      </c>
      <c r="B21" s="2" t="s">
        <v>130</v>
      </c>
      <c r="C21" s="2" t="s">
        <v>131</v>
      </c>
      <c r="D21" s="3" t="n">
        <v>232</v>
      </c>
      <c r="E21" s="2" t="s">
        <v>24</v>
      </c>
      <c r="F21" s="3" t="n">
        <v>1900</v>
      </c>
      <c r="G21" s="4" t="n">
        <f aca="false">D21/F21</f>
        <v>0.122105263157895</v>
      </c>
      <c r="H21" s="2" t="s">
        <v>16</v>
      </c>
      <c r="I21" s="2" t="s">
        <v>17</v>
      </c>
      <c r="J21" s="5" t="s">
        <v>132</v>
      </c>
      <c r="K21" s="5" t="s">
        <v>133</v>
      </c>
      <c r="L21" s="6" t="s">
        <v>134</v>
      </c>
    </row>
    <row r="22" customFormat="false" ht="57.45" hidden="false" customHeight="false" outlineLevel="0" collapsed="false">
      <c r="A22" s="7" t="s">
        <v>38</v>
      </c>
      <c r="B22" s="7" t="s">
        <v>135</v>
      </c>
      <c r="C22" s="7" t="s">
        <v>136</v>
      </c>
      <c r="D22" s="8" t="n">
        <v>5</v>
      </c>
      <c r="E22" s="7" t="s">
        <v>59</v>
      </c>
      <c r="F22" s="8" t="n">
        <v>430</v>
      </c>
      <c r="G22" s="9" t="n">
        <f aca="false">D22/F22</f>
        <v>0.0116279069767442</v>
      </c>
      <c r="H22" s="7" t="s">
        <v>60</v>
      </c>
      <c r="I22" s="7" t="s">
        <v>17</v>
      </c>
      <c r="J22" s="10" t="s">
        <v>137</v>
      </c>
      <c r="K22" s="10" t="s">
        <v>138</v>
      </c>
      <c r="L22" s="11" t="s">
        <v>139</v>
      </c>
    </row>
    <row r="23" customFormat="false" ht="57.45" hidden="false" customHeight="false" outlineLevel="0" collapsed="false">
      <c r="A23" s="2" t="s">
        <v>38</v>
      </c>
      <c r="B23" s="2" t="s">
        <v>140</v>
      </c>
      <c r="C23" s="2" t="s">
        <v>141</v>
      </c>
      <c r="D23" s="3" t="n">
        <v>26</v>
      </c>
      <c r="E23" s="2" t="s">
        <v>24</v>
      </c>
      <c r="F23" s="3" t="n">
        <v>440</v>
      </c>
      <c r="G23" s="4" t="n">
        <f aca="false">D23/F23</f>
        <v>0.0590909090909091</v>
      </c>
      <c r="H23" s="2" t="s">
        <v>16</v>
      </c>
      <c r="I23" s="2" t="s">
        <v>17</v>
      </c>
      <c r="J23" s="5" t="s">
        <v>142</v>
      </c>
      <c r="K23" s="5" t="s">
        <v>143</v>
      </c>
      <c r="L23" s="6" t="s">
        <v>144</v>
      </c>
    </row>
    <row r="24" customFormat="false" ht="57.45" hidden="false" customHeight="false" outlineLevel="0" collapsed="false">
      <c r="A24" s="2" t="s">
        <v>38</v>
      </c>
      <c r="B24" s="2" t="s">
        <v>145</v>
      </c>
      <c r="C24" s="2" t="s">
        <v>146</v>
      </c>
      <c r="D24" s="3" t="n">
        <v>235</v>
      </c>
      <c r="E24" s="2" t="s">
        <v>24</v>
      </c>
      <c r="F24" s="3" t="n">
        <v>1800</v>
      </c>
      <c r="G24" s="4" t="n">
        <f aca="false">D24/F24</f>
        <v>0.130555555555556</v>
      </c>
      <c r="H24" s="2" t="s">
        <v>16</v>
      </c>
      <c r="I24" s="2" t="s">
        <v>17</v>
      </c>
      <c r="J24" s="5" t="s">
        <v>147</v>
      </c>
      <c r="K24" s="5" t="s">
        <v>148</v>
      </c>
      <c r="L24" s="6" t="s">
        <v>149</v>
      </c>
    </row>
    <row r="25" customFormat="false" ht="91" hidden="false" customHeight="false" outlineLevel="0" collapsed="false">
      <c r="A25" s="2" t="s">
        <v>12</v>
      </c>
      <c r="B25" s="2" t="s">
        <v>150</v>
      </c>
      <c r="C25" s="2" t="s">
        <v>151</v>
      </c>
      <c r="D25" s="3" t="n">
        <v>28</v>
      </c>
      <c r="E25" s="2" t="s">
        <v>24</v>
      </c>
      <c r="F25" s="3" t="n">
        <v>550</v>
      </c>
      <c r="G25" s="4" t="n">
        <f aca="false">D25/F25</f>
        <v>0.0509090909090909</v>
      </c>
      <c r="H25" s="2" t="s">
        <v>42</v>
      </c>
      <c r="I25" s="2" t="s">
        <v>17</v>
      </c>
      <c r="J25" s="5" t="s">
        <v>152</v>
      </c>
      <c r="K25" s="5" t="s">
        <v>153</v>
      </c>
      <c r="L25" s="6" t="s">
        <v>154</v>
      </c>
    </row>
    <row r="26" customFormat="false" ht="68.65" hidden="false" customHeight="false" outlineLevel="0" collapsed="false">
      <c r="A26" s="2" t="s">
        <v>38</v>
      </c>
      <c r="B26" s="2" t="s">
        <v>155</v>
      </c>
      <c r="C26" s="2" t="s">
        <v>156</v>
      </c>
      <c r="D26" s="3" t="n">
        <v>900</v>
      </c>
      <c r="E26" s="2" t="s">
        <v>41</v>
      </c>
      <c r="F26" s="3" t="n">
        <v>1400</v>
      </c>
      <c r="G26" s="4" t="n">
        <f aca="false">D26/F26</f>
        <v>0.642857142857143</v>
      </c>
      <c r="H26" s="2" t="s">
        <v>16</v>
      </c>
      <c r="I26" s="2" t="s">
        <v>17</v>
      </c>
      <c r="J26" s="5" t="s">
        <v>157</v>
      </c>
      <c r="K26" s="5" t="s">
        <v>158</v>
      </c>
      <c r="L26" s="6" t="s">
        <v>159</v>
      </c>
    </row>
    <row r="27" customFormat="false" ht="46.25" hidden="false" customHeight="false" outlineLevel="0" collapsed="false">
      <c r="A27" s="2" t="s">
        <v>21</v>
      </c>
      <c r="B27" s="2" t="s">
        <v>160</v>
      </c>
      <c r="C27" s="2" t="s">
        <v>161</v>
      </c>
      <c r="D27" s="3" t="n">
        <v>59.7</v>
      </c>
      <c r="E27" s="2" t="s">
        <v>15</v>
      </c>
      <c r="F27" s="3" t="n">
        <v>115</v>
      </c>
      <c r="G27" s="4" t="n">
        <f aca="false">D27/F27</f>
        <v>0.519130434782609</v>
      </c>
      <c r="H27" s="2" t="s">
        <v>16</v>
      </c>
      <c r="I27" s="2" t="s">
        <v>17</v>
      </c>
      <c r="J27" s="5" t="s">
        <v>162</v>
      </c>
      <c r="K27" s="5" t="s">
        <v>163</v>
      </c>
      <c r="L27" s="6" t="s">
        <v>164</v>
      </c>
    </row>
    <row r="28" customFormat="false" ht="57.45" hidden="false" customHeight="false" outlineLevel="0" collapsed="false">
      <c r="A28" s="2" t="s">
        <v>21</v>
      </c>
      <c r="B28" s="2" t="s">
        <v>165</v>
      </c>
      <c r="C28" s="2" t="s">
        <v>166</v>
      </c>
      <c r="D28" s="3" t="n">
        <v>28</v>
      </c>
      <c r="E28" s="2" t="s">
        <v>24</v>
      </c>
      <c r="F28" s="3" t="n">
        <v>44</v>
      </c>
      <c r="G28" s="4" t="n">
        <f aca="false">D28/F28</f>
        <v>0.636363636363636</v>
      </c>
      <c r="H28" s="2" t="s">
        <v>42</v>
      </c>
      <c r="I28" s="2" t="s">
        <v>17</v>
      </c>
      <c r="J28" s="5" t="s">
        <v>167</v>
      </c>
      <c r="K28" s="5" t="s">
        <v>168</v>
      </c>
      <c r="L28" s="6" t="s">
        <v>169</v>
      </c>
    </row>
    <row r="29" customFormat="false" ht="35.05" hidden="false" customHeight="false" outlineLevel="0" collapsed="false">
      <c r="A29" s="7" t="s">
        <v>21</v>
      </c>
      <c r="B29" s="7" t="s">
        <v>170</v>
      </c>
      <c r="C29" s="7" t="s">
        <v>171</v>
      </c>
      <c r="D29" s="8" t="n">
        <v>78</v>
      </c>
      <c r="E29" s="7" t="s">
        <v>24</v>
      </c>
      <c r="F29" s="8" t="n">
        <v>15</v>
      </c>
      <c r="G29" s="9" t="n">
        <f aca="false">D29/F29</f>
        <v>5.2</v>
      </c>
      <c r="H29" s="7" t="s">
        <v>60</v>
      </c>
      <c r="I29" s="7" t="s">
        <v>17</v>
      </c>
      <c r="J29" s="10" t="s">
        <v>172</v>
      </c>
      <c r="K29" s="10" t="s">
        <v>173</v>
      </c>
      <c r="L29" s="11" t="s">
        <v>174</v>
      </c>
    </row>
    <row r="30" customFormat="false" ht="46.25" hidden="false" customHeight="false" outlineLevel="0" collapsed="false">
      <c r="A30" s="2" t="s">
        <v>38</v>
      </c>
      <c r="B30" s="2" t="s">
        <v>175</v>
      </c>
      <c r="C30" s="2" t="s">
        <v>176</v>
      </c>
      <c r="D30" s="3" t="n">
        <v>90</v>
      </c>
      <c r="E30" s="2" t="s">
        <v>24</v>
      </c>
      <c r="F30" s="3" t="n">
        <v>1800</v>
      </c>
      <c r="G30" s="4" t="n">
        <f aca="false">D30/F30</f>
        <v>0.05</v>
      </c>
      <c r="H30" s="2" t="s">
        <v>42</v>
      </c>
      <c r="I30" s="2" t="s">
        <v>17</v>
      </c>
      <c r="J30" s="5" t="s">
        <v>177</v>
      </c>
      <c r="K30" s="5" t="s">
        <v>178</v>
      </c>
      <c r="L30" s="6" t="s">
        <v>179</v>
      </c>
    </row>
    <row r="31" customFormat="false" ht="57.45" hidden="false" customHeight="false" outlineLevel="0" collapsed="false">
      <c r="A31" s="2" t="s">
        <v>38</v>
      </c>
      <c r="B31" s="2" t="s">
        <v>180</v>
      </c>
      <c r="C31" s="2" t="s">
        <v>181</v>
      </c>
      <c r="D31" s="3" t="n">
        <v>52</v>
      </c>
      <c r="E31" s="2" t="s">
        <v>182</v>
      </c>
      <c r="F31" s="3" t="n">
        <v>250</v>
      </c>
      <c r="G31" s="4" t="n">
        <f aca="false">D31/F31</f>
        <v>0.208</v>
      </c>
      <c r="H31" s="2" t="s">
        <v>16</v>
      </c>
      <c r="I31" s="2" t="s">
        <v>17</v>
      </c>
      <c r="J31" s="5" t="s">
        <v>183</v>
      </c>
      <c r="K31" s="5" t="s">
        <v>184</v>
      </c>
      <c r="L31" s="6" t="s">
        <v>185</v>
      </c>
    </row>
    <row r="32" customFormat="false" ht="57.45" hidden="false" customHeight="false" outlineLevel="0" collapsed="false">
      <c r="A32" s="2" t="s">
        <v>95</v>
      </c>
      <c r="B32" s="2" t="s">
        <v>186</v>
      </c>
      <c r="C32" s="2" t="s">
        <v>187</v>
      </c>
      <c r="D32" s="3" t="n">
        <v>3.5</v>
      </c>
      <c r="E32" s="2" t="s">
        <v>80</v>
      </c>
      <c r="F32" s="3" t="n">
        <v>20</v>
      </c>
      <c r="G32" s="4" t="n">
        <f aca="false">D32/F32</f>
        <v>0.175</v>
      </c>
      <c r="H32" s="2" t="s">
        <v>42</v>
      </c>
      <c r="I32" s="2" t="s">
        <v>17</v>
      </c>
      <c r="J32" s="5" t="s">
        <v>188</v>
      </c>
      <c r="K32" s="5" t="s">
        <v>189</v>
      </c>
      <c r="L32" s="6" t="s">
        <v>190</v>
      </c>
    </row>
    <row r="33" customFormat="false" ht="57.45" hidden="false" customHeight="false" outlineLevel="0" collapsed="false">
      <c r="A33" s="7" t="s">
        <v>95</v>
      </c>
      <c r="B33" s="7" t="s">
        <v>191</v>
      </c>
      <c r="C33" s="7" t="s">
        <v>192</v>
      </c>
      <c r="D33" s="8" t="n">
        <v>2</v>
      </c>
      <c r="E33" s="7" t="s">
        <v>59</v>
      </c>
      <c r="F33" s="8" t="n">
        <v>80</v>
      </c>
      <c r="G33" s="9" t="n">
        <f aca="false">D33/F33</f>
        <v>0.025</v>
      </c>
      <c r="H33" s="7" t="s">
        <v>60</v>
      </c>
      <c r="I33" s="7" t="s">
        <v>17</v>
      </c>
      <c r="J33" s="10" t="s">
        <v>193</v>
      </c>
      <c r="K33" s="10" t="s">
        <v>194</v>
      </c>
      <c r="L33" s="11" t="s">
        <v>195</v>
      </c>
    </row>
    <row r="34" customFormat="false" ht="57.45" hidden="false" customHeight="false" outlineLevel="0" collapsed="false">
      <c r="A34" s="2" t="s">
        <v>95</v>
      </c>
      <c r="B34" s="2" t="s">
        <v>196</v>
      </c>
      <c r="C34" s="2" t="s">
        <v>197</v>
      </c>
      <c r="D34" s="3" t="n">
        <v>16</v>
      </c>
      <c r="E34" s="2" t="s">
        <v>198</v>
      </c>
      <c r="F34" s="3" t="n">
        <v>35</v>
      </c>
      <c r="G34" s="4" t="n">
        <f aca="false">D34/F34</f>
        <v>0.457142857142857</v>
      </c>
      <c r="H34" s="2" t="s">
        <v>42</v>
      </c>
      <c r="I34" s="2" t="s">
        <v>17</v>
      </c>
      <c r="J34" s="5" t="s">
        <v>199</v>
      </c>
      <c r="K34" s="5" t="s">
        <v>200</v>
      </c>
      <c r="L34" s="6" t="s">
        <v>201</v>
      </c>
    </row>
    <row r="35" customFormat="false" ht="46.25" hidden="false" customHeight="false" outlineLevel="0" collapsed="false">
      <c r="A35" s="2" t="s">
        <v>64</v>
      </c>
      <c r="B35" s="2" t="s">
        <v>202</v>
      </c>
      <c r="C35" s="2" t="s">
        <v>203</v>
      </c>
      <c r="D35" s="3" t="n">
        <v>18</v>
      </c>
      <c r="E35" s="2" t="s">
        <v>24</v>
      </c>
      <c r="F35" s="3" t="n">
        <v>270</v>
      </c>
      <c r="G35" s="4" t="n">
        <f aca="false">D35/F35</f>
        <v>0.0666666666666667</v>
      </c>
      <c r="H35" s="2" t="s">
        <v>42</v>
      </c>
      <c r="I35" s="2" t="s">
        <v>17</v>
      </c>
      <c r="J35" s="5" t="s">
        <v>204</v>
      </c>
      <c r="K35" s="5" t="s">
        <v>205</v>
      </c>
      <c r="L35" s="6" t="s">
        <v>206</v>
      </c>
    </row>
    <row r="36" customFormat="false" ht="91" hidden="false" customHeight="false" outlineLevel="0" collapsed="false">
      <c r="A36" s="2" t="s">
        <v>64</v>
      </c>
      <c r="B36" s="2" t="s">
        <v>207</v>
      </c>
      <c r="C36" s="2" t="s">
        <v>208</v>
      </c>
      <c r="D36" s="3" t="n">
        <v>88.8</v>
      </c>
      <c r="E36" s="2" t="s">
        <v>24</v>
      </c>
      <c r="F36" s="3" t="n">
        <v>65</v>
      </c>
      <c r="G36" s="4" t="n">
        <f aca="false">D36/F36</f>
        <v>1.36615384615385</v>
      </c>
      <c r="H36" s="2" t="s">
        <v>16</v>
      </c>
      <c r="I36" s="2" t="s">
        <v>17</v>
      </c>
      <c r="J36" s="5" t="s">
        <v>209</v>
      </c>
      <c r="K36" s="5" t="s">
        <v>210</v>
      </c>
      <c r="L36" s="6" t="s">
        <v>211</v>
      </c>
    </row>
    <row r="37" customFormat="false" ht="68.65" hidden="false" customHeight="false" outlineLevel="0" collapsed="false">
      <c r="A37" s="2" t="s">
        <v>64</v>
      </c>
      <c r="B37" s="2" t="s">
        <v>212</v>
      </c>
      <c r="C37" s="2" t="s">
        <v>213</v>
      </c>
      <c r="D37" s="3" t="n">
        <v>60.6</v>
      </c>
      <c r="E37" s="2" t="s">
        <v>214</v>
      </c>
      <c r="F37" s="3" t="n">
        <v>2700</v>
      </c>
      <c r="G37" s="4" t="n">
        <f aca="false">D37/F37</f>
        <v>0.0224444444444444</v>
      </c>
      <c r="H37" s="2" t="s">
        <v>42</v>
      </c>
      <c r="I37" s="2" t="s">
        <v>17</v>
      </c>
      <c r="J37" s="5" t="s">
        <v>215</v>
      </c>
      <c r="K37" s="5" t="s">
        <v>216</v>
      </c>
      <c r="L37" s="6" t="s">
        <v>217</v>
      </c>
    </row>
    <row r="38" customFormat="false" ht="46.25" hidden="false" customHeight="false" outlineLevel="0" collapsed="false">
      <c r="A38" s="2" t="s">
        <v>64</v>
      </c>
      <c r="B38" s="2" t="s">
        <v>218</v>
      </c>
      <c r="C38" s="2" t="s">
        <v>219</v>
      </c>
      <c r="D38" s="3" t="n">
        <v>6.1</v>
      </c>
      <c r="E38" s="2" t="s">
        <v>220</v>
      </c>
      <c r="F38" s="3" t="n">
        <v>28</v>
      </c>
      <c r="G38" s="4" t="n">
        <f aca="false">D38/F38</f>
        <v>0.217857142857143</v>
      </c>
      <c r="H38" s="2" t="s">
        <v>42</v>
      </c>
      <c r="I38" s="2" t="s">
        <v>17</v>
      </c>
      <c r="J38" s="5" t="s">
        <v>221</v>
      </c>
      <c r="K38" s="5" t="s">
        <v>222</v>
      </c>
      <c r="L38" s="6" t="s">
        <v>223</v>
      </c>
    </row>
    <row r="39" customFormat="false" ht="68.65" hidden="false" customHeight="false" outlineLevel="0" collapsed="false">
      <c r="A39" s="2" t="s">
        <v>64</v>
      </c>
      <c r="B39" s="2" t="s">
        <v>224</v>
      </c>
      <c r="C39" s="2" t="s">
        <v>225</v>
      </c>
      <c r="D39" s="3" t="n">
        <v>3.1</v>
      </c>
      <c r="E39" s="2" t="s">
        <v>80</v>
      </c>
      <c r="F39" s="3" t="n">
        <v>25</v>
      </c>
      <c r="G39" s="4" t="n">
        <f aca="false">D39/F39</f>
        <v>0.124</v>
      </c>
      <c r="H39" s="2" t="s">
        <v>42</v>
      </c>
      <c r="I39" s="2" t="s">
        <v>17</v>
      </c>
      <c r="J39" s="5" t="s">
        <v>226</v>
      </c>
      <c r="K39" s="5" t="s">
        <v>227</v>
      </c>
      <c r="L39" s="6" t="s">
        <v>228</v>
      </c>
    </row>
    <row r="40" customFormat="false" ht="57.45" hidden="false" customHeight="false" outlineLevel="0" collapsed="false">
      <c r="A40" s="7" t="s">
        <v>64</v>
      </c>
      <c r="B40" s="7" t="s">
        <v>229</v>
      </c>
      <c r="C40" s="7" t="s">
        <v>230</v>
      </c>
      <c r="D40" s="8" t="n">
        <v>3.5</v>
      </c>
      <c r="E40" s="7" t="s">
        <v>59</v>
      </c>
      <c r="F40" s="8" t="n">
        <v>320</v>
      </c>
      <c r="G40" s="9" t="n">
        <f aca="false">D40/F40</f>
        <v>0.0109375</v>
      </c>
      <c r="H40" s="7" t="s">
        <v>60</v>
      </c>
      <c r="I40" s="7" t="s">
        <v>17</v>
      </c>
      <c r="J40" s="10" t="s">
        <v>231</v>
      </c>
      <c r="K40" s="10" t="s">
        <v>232</v>
      </c>
      <c r="L40" s="11" t="s">
        <v>139</v>
      </c>
    </row>
    <row r="41" customFormat="false" ht="46.25" hidden="false" customHeight="false" outlineLevel="0" collapsed="false">
      <c r="A41" s="7" t="s">
        <v>64</v>
      </c>
      <c r="B41" s="7" t="s">
        <v>233</v>
      </c>
      <c r="C41" s="7" t="s">
        <v>234</v>
      </c>
      <c r="D41" s="8" t="n">
        <v>0.9</v>
      </c>
      <c r="E41" s="7" t="s">
        <v>80</v>
      </c>
      <c r="F41" s="8" t="n">
        <v>1800</v>
      </c>
      <c r="G41" s="9" t="n">
        <f aca="false">D41/F41</f>
        <v>0.0005</v>
      </c>
      <c r="H41" s="7" t="s">
        <v>60</v>
      </c>
      <c r="I41" s="7" t="s">
        <v>17</v>
      </c>
      <c r="J41" s="10" t="s">
        <v>235</v>
      </c>
      <c r="K41" s="10" t="s">
        <v>236</v>
      </c>
      <c r="L41" s="11" t="s">
        <v>237</v>
      </c>
    </row>
    <row r="42" customFormat="false" ht="91" hidden="false" customHeight="false" outlineLevel="0" collapsed="false">
      <c r="A42" s="2" t="s">
        <v>12</v>
      </c>
      <c r="B42" s="2" t="s">
        <v>238</v>
      </c>
      <c r="C42" s="2" t="s">
        <v>239</v>
      </c>
      <c r="D42" s="3" t="n">
        <v>340</v>
      </c>
      <c r="E42" s="2" t="s">
        <v>120</v>
      </c>
      <c r="F42" s="3" t="n">
        <v>1100</v>
      </c>
      <c r="G42" s="4" t="n">
        <f aca="false">D42/F42</f>
        <v>0.309090909090909</v>
      </c>
      <c r="H42" s="2" t="s">
        <v>42</v>
      </c>
      <c r="I42" s="2" t="s">
        <v>17</v>
      </c>
      <c r="J42" s="5" t="s">
        <v>240</v>
      </c>
      <c r="K42" s="5" t="s">
        <v>241</v>
      </c>
      <c r="L42" s="6" t="s">
        <v>242</v>
      </c>
    </row>
    <row r="43" customFormat="false" ht="68.65" hidden="false" customHeight="false" outlineLevel="0" collapsed="false">
      <c r="A43" s="7" t="s">
        <v>12</v>
      </c>
      <c r="B43" s="7" t="s">
        <v>243</v>
      </c>
      <c r="C43" s="7" t="s">
        <v>244</v>
      </c>
      <c r="D43" s="8" t="n">
        <v>340</v>
      </c>
      <c r="E43" s="7" t="s">
        <v>24</v>
      </c>
      <c r="F43" s="8" t="n">
        <v>3100</v>
      </c>
      <c r="G43" s="9" t="n">
        <f aca="false">D43/F43</f>
        <v>0.109677419354839</v>
      </c>
      <c r="H43" s="7" t="s">
        <v>60</v>
      </c>
      <c r="I43" s="7" t="s">
        <v>245</v>
      </c>
      <c r="J43" s="10" t="s">
        <v>246</v>
      </c>
      <c r="K43" s="10" t="s">
        <v>247</v>
      </c>
      <c r="L43" s="11" t="s">
        <v>248</v>
      </c>
    </row>
    <row r="44" customFormat="false" ht="46.25" hidden="false" customHeight="false" outlineLevel="0" collapsed="false">
      <c r="A44" s="7" t="s">
        <v>12</v>
      </c>
      <c r="B44" s="7" t="s">
        <v>249</v>
      </c>
      <c r="C44" s="7" t="s">
        <v>250</v>
      </c>
      <c r="D44" s="8" t="n">
        <v>500</v>
      </c>
      <c r="E44" s="7" t="s">
        <v>24</v>
      </c>
      <c r="F44" s="8" t="n">
        <v>2300</v>
      </c>
      <c r="G44" s="9" t="n">
        <f aca="false">D44/F44</f>
        <v>0.217391304347826</v>
      </c>
      <c r="H44" s="7" t="s">
        <v>60</v>
      </c>
      <c r="I44" s="7" t="s">
        <v>245</v>
      </c>
      <c r="J44" s="10" t="s">
        <v>251</v>
      </c>
      <c r="K44" s="10" t="s">
        <v>252</v>
      </c>
      <c r="L44" s="11" t="s">
        <v>253</v>
      </c>
    </row>
    <row r="45" customFormat="false" ht="43.25" hidden="false" customHeight="false" outlineLevel="0" collapsed="false">
      <c r="A45" s="12"/>
      <c r="B45" s="13" t="s">
        <v>254</v>
      </c>
      <c r="C45" s="13" t="s">
        <v>255</v>
      </c>
      <c r="D45" s="14" t="n">
        <f aca="false">SUMIF(I2:I44,"Yes",D2:D44)</f>
        <v>14243.6</v>
      </c>
      <c r="E45" s="12"/>
      <c r="F45" s="14" t="n">
        <v>110000</v>
      </c>
      <c r="G45" s="15" t="n">
        <f aca="false">D45/F45</f>
        <v>0.129487272727273</v>
      </c>
      <c r="H45" s="12"/>
      <c r="I45" s="12"/>
      <c r="J45" s="12"/>
      <c r="K45" s="12"/>
      <c r="L45" s="16" t="s">
        <v>256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5"/>
  </cols>
  <sheetData>
    <row r="1" customFormat="false" ht="17.35" hidden="false" customHeight="false" outlineLevel="0" collapsed="false">
      <c r="A1" s="17" t="s">
        <v>257</v>
      </c>
    </row>
    <row r="2" customFormat="false" ht="15" hidden="false" customHeight="false" outlineLevel="0" collapsed="false">
      <c r="A2" s="18"/>
    </row>
    <row r="3" customFormat="false" ht="15" hidden="false" customHeight="false" outlineLevel="0" collapsed="false">
      <c r="A3" s="19" t="s">
        <v>258</v>
      </c>
    </row>
    <row r="4" customFormat="false" ht="15" hidden="false" customHeight="false" outlineLevel="0" collapsed="false">
      <c r="A4" s="18" t="s">
        <v>259</v>
      </c>
    </row>
    <row r="5" customFormat="false" ht="15" hidden="false" customHeight="false" outlineLevel="0" collapsed="false">
      <c r="A5" s="18" t="s">
        <v>260</v>
      </c>
    </row>
    <row r="6" customFormat="false" ht="15" hidden="false" customHeight="false" outlineLevel="0" collapsed="false">
      <c r="A6" s="18"/>
    </row>
    <row r="7" customFormat="false" ht="15" hidden="false" customHeight="false" outlineLevel="0" collapsed="false">
      <c r="A7" s="19" t="s">
        <v>261</v>
      </c>
    </row>
    <row r="8" customFormat="false" ht="15" hidden="false" customHeight="false" outlineLevel="0" collapsed="false">
      <c r="A8" s="18" t="s">
        <v>262</v>
      </c>
    </row>
    <row r="9" customFormat="false" ht="15" hidden="false" customHeight="false" outlineLevel="0" collapsed="false">
      <c r="A9" s="18" t="s">
        <v>263</v>
      </c>
    </row>
    <row r="10" customFormat="false" ht="15" hidden="false" customHeight="false" outlineLevel="0" collapsed="false">
      <c r="A10" s="18" t="s">
        <v>264</v>
      </c>
    </row>
    <row r="11" customFormat="false" ht="15" hidden="false" customHeight="false" outlineLevel="0" collapsed="false">
      <c r="A11" s="18" t="s">
        <v>265</v>
      </c>
    </row>
    <row r="12" customFormat="false" ht="15" hidden="false" customHeight="false" outlineLevel="0" collapsed="false">
      <c r="A12" s="18" t="s">
        <v>266</v>
      </c>
    </row>
    <row r="13" customFormat="false" ht="15" hidden="false" customHeight="false" outlineLevel="0" collapsed="false">
      <c r="A13" s="18" t="s">
        <v>267</v>
      </c>
    </row>
    <row r="14" customFormat="false" ht="15" hidden="false" customHeight="false" outlineLevel="0" collapsed="false">
      <c r="A14" s="18" t="s">
        <v>268</v>
      </c>
    </row>
    <row r="15" customFormat="false" ht="15" hidden="false" customHeight="false" outlineLevel="0" collapsed="false">
      <c r="A15" s="18" t="s">
        <v>269</v>
      </c>
    </row>
    <row r="16" customFormat="false" ht="15" hidden="false" customHeight="false" outlineLevel="0" collapsed="false">
      <c r="A16" s="18" t="s">
        <v>270</v>
      </c>
    </row>
    <row r="17" customFormat="false" ht="15" hidden="false" customHeight="false" outlineLevel="0" collapsed="false">
      <c r="A17" s="18" t="s">
        <v>271</v>
      </c>
    </row>
    <row r="18" customFormat="false" ht="15" hidden="false" customHeight="false" outlineLevel="0" collapsed="false">
      <c r="A18" s="18" t="s">
        <v>272</v>
      </c>
    </row>
    <row r="19" customFormat="false" ht="15" hidden="false" customHeight="false" outlineLevel="0" collapsed="false">
      <c r="A19" s="18" t="s">
        <v>273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2026-07-09T16:37:09Z</dcterms:created>
  <dc:creator>openpyxl</dc:creator>
  <dc:description/>
  <dc:language>en-US</dc:language>
  <cp:lastModifiedBy/>
  <dcterms:modified xsi:type="dcterms:W3CDTF">2026-07-09T16:37:09Z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