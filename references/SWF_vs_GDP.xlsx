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cuments\www\rapport-GRA-ft.-GC\references\"/>
    </mc:Choice>
  </mc:AlternateContent>
  <bookViews>
    <workbookView xWindow="0" yWindow="0" windowWidth="16380" windowHeight="8190" tabRatio="500"/>
  </bookViews>
  <sheets>
    <sheet name="SWF vs GDP" sheetId="1" r:id="rId1"/>
    <sheet name="Notes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7" i="1" l="1"/>
  <c r="G47" i="1" s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<sst xmlns="http://schemas.openxmlformats.org/spreadsheetml/2006/main" count="341" uniqueCount="190">
  <si>
    <t>Region</t>
  </si>
  <si>
    <t>Country</t>
  </si>
  <si>
    <t>Fund(s)</t>
  </si>
  <si>
    <t>AUM (US$ bn)</t>
  </si>
  <si>
    <t>AUM as of</t>
  </si>
  <si>
    <t>Approx. GDP (US$ bn)</t>
  </si>
  <si>
    <t>AUM / GDP (%)</t>
  </si>
  <si>
    <t>Confidence</t>
  </si>
  <si>
    <t>In World Total?</t>
  </si>
  <si>
    <t>Source / Note</t>
  </si>
  <si>
    <t>Europe</t>
  </si>
  <si>
    <t>Norway</t>
  </si>
  <si>
    <t>Government Pension Fund Global (GPFG)</t>
  </si>
  <si>
    <t>end-2025</t>
  </si>
  <si>
    <t>High</t>
  </si>
  <si>
    <t>Yes</t>
  </si>
  <si>
    <t>Praxis Rock directory (Apr'26, firm-reported); NBIM</t>
  </si>
  <si>
    <t>Gulf/Middle East</t>
  </si>
  <si>
    <t>United Arab Emirates</t>
  </si>
  <si>
    <t>ADIA + Mubadala + ADQ + ICD (combined)</t>
  </si>
  <si>
    <t>2026</t>
  </si>
  <si>
    <t>Praxis Rock (Apr'26): ADIA $1.1tn + Mubadala $330bn + ADQ ~$200bn + ICD $380bn. Khaleej Times cites a higher ~$2.9tn figure incl. all emirates -- range reflects scope differences</t>
  </si>
  <si>
    <t>Qatar</t>
  </si>
  <si>
    <t>Qatar Investment Authority (QIA)</t>
  </si>
  <si>
    <t>Praxis Rock (Apr'26, firm-reported); earlier estimates ranged $465-580bn</t>
  </si>
  <si>
    <t>Kuwait</t>
  </si>
  <si>
    <t>Kuwait Investment Authority (KIA)</t>
  </si>
  <si>
    <t>Praxis Rock (Apr'26, firm-reported)</t>
  </si>
  <si>
    <t>Asia-Pacific</t>
  </si>
  <si>
    <t>Singapore</t>
  </si>
  <si>
    <t>GIC + Temasek + MAS reserves (combined)</t>
  </si>
  <si>
    <t>2025-26</t>
  </si>
  <si>
    <t>Medium</t>
  </si>
  <si>
    <t>Praxis Rock: GIC $936bn + Temasek $324bn + MAS $400bn</t>
  </si>
  <si>
    <t>Singapore (GIC+Temasek only)</t>
  </si>
  <si>
    <t>GIC + Temasek</t>
  </si>
  <si>
    <t>No</t>
  </si>
  <si>
    <t>Subset of the combined Singapore row above -- excluded from total to avoid double-counting</t>
  </si>
  <si>
    <t>Saudi Arabia</t>
  </si>
  <si>
    <t>Public Investment Fund (PIF)</t>
  </si>
  <si>
    <t>Praxis Rock (Apr'26, firm-reported); target $2tn by 2030</t>
  </si>
  <si>
    <t>Timor-Leste</t>
  </si>
  <si>
    <t>Petroleum Fund</t>
  </si>
  <si>
    <t>~2024-25</t>
  </si>
  <si>
    <t>Order of magnitude; widely cited as world's highest AUM/GDP ratio (~900-1000%)</t>
  </si>
  <si>
    <t>Kiribati</t>
  </si>
  <si>
    <t>Revenue Equalization Reserve Fund (RERF)</t>
  </si>
  <si>
    <t>recent</t>
  </si>
  <si>
    <t>Low</t>
  </si>
  <si>
    <t>Wikipedia (&gt;$1.5bn); GDP ~$280m order of magnitude, not re-verified this session</t>
  </si>
  <si>
    <t>Americas</t>
  </si>
  <si>
    <t>Canada</t>
  </si>
  <si>
    <t>Canada Strong Fund</t>
  </si>
  <si>
    <t>Apr-2026</t>
  </si>
  <si>
    <t>Announced 27 Apr 2026, $18-25bn range across sources; entirely debt-financed</t>
  </si>
  <si>
    <t>Post-Soviet/Central Asia</t>
  </si>
  <si>
    <t>Russia</t>
  </si>
  <si>
    <t>National Wealth Fund (NWF)</t>
  </si>
  <si>
    <t>Apr-May 2026</t>
  </si>
  <si>
    <t>TASS/tradingeconomics 2026 ($176-210bn range); only ~$55bn liquid; GDP uncertain (sanctions era)</t>
  </si>
  <si>
    <t>Kazakhstan</t>
  </si>
  <si>
    <t>National Fund (NF)</t>
  </si>
  <si>
    <t>end-2024</t>
  </si>
  <si>
    <t>Nat'l Bank of Kazakhstan/Kursiv Media: fund = 25.9% of GDP at end-2024 (directly reported)</t>
  </si>
  <si>
    <t>Kazakhstan (additional)</t>
  </si>
  <si>
    <t>Samruk-Kazyna (state holding co., domestic)</t>
  </si>
  <si>
    <t>Praxis Rock (Apr'26); a domestic operating holding company, not a classic SWF</t>
  </si>
  <si>
    <t>Libya</t>
  </si>
  <si>
    <t>Libyan Investment Authority (LIA)</t>
  </si>
  <si>
    <t>2023-25</t>
  </si>
  <si>
    <t>Crisis Group/US State Dept/Praxis Rock all converge ~$70bn; ~half frozen under UN sanctions</t>
  </si>
  <si>
    <t>Africa</t>
  </si>
  <si>
    <t>Angola</t>
  </si>
  <si>
    <t>Fundo Soberano de Angola (FSDEA)</t>
  </si>
  <si>
    <t>Christopher Sanchez &amp; Co. Aug-2025 report; supersedes an earlier unverified $4bn placeholder</t>
  </si>
  <si>
    <t>Nigeria</t>
  </si>
  <si>
    <t>Nigeria Sovereign Investment Authority (NSIA)</t>
  </si>
  <si>
    <t>BusinessDay NG cites $2.86bn; Praxis Rock cites $3.5bn -- range reflects reporting date</t>
  </si>
  <si>
    <t>Iran</t>
  </si>
  <si>
    <t>National Development Fund of Iran (NDFI)</t>
  </si>
  <si>
    <t>~2023-25</t>
  </si>
  <si>
    <t>Contested/opaque; opposition sources claim further depletion in 2025; GDP uncertain (sanctions)</t>
  </si>
  <si>
    <t>Azerbaijan</t>
  </si>
  <si>
    <t>State Oil Fund of Azerbaijan (SOFAZ)</t>
  </si>
  <si>
    <t>Jan-2025</t>
  </si>
  <si>
    <t>US State Dept Investment Climate Statement 2025</t>
  </si>
  <si>
    <t>China</t>
  </si>
  <si>
    <t>CIC + SAFE Investment Co. + NCSSF (combined)</t>
  </si>
  <si>
    <t>2024-26</t>
  </si>
  <si>
    <t>Low-Medium</t>
  </si>
  <si>
    <t>CIC $1.33-1.57tn (sources differ); SAFE ~$1.1tn (opaque estimate); NCSSF $230bn</t>
  </si>
  <si>
    <t>China (CIC only)</t>
  </si>
  <si>
    <t>China Investment Corporation (CIC)</t>
  </si>
  <si>
    <t>2024 annual report</t>
  </si>
  <si>
    <t>Subset of the combined China row above -- excluded from total to avoid double-counting</t>
  </si>
  <si>
    <t>Hong Kong</t>
  </si>
  <si>
    <t>HKMA Exchange Fund</t>
  </si>
  <si>
    <t>Praxis Rock (Apr'26, HK$4.15tn); also backs the currency peg, not a pure SWF</t>
  </si>
  <si>
    <t>South Korea</t>
  </si>
  <si>
    <t>Korea Investment Corporation (KIC)</t>
  </si>
  <si>
    <t>Praxis Rock (Apr'26, firm-reported, 2025 return 13.91%)</t>
  </si>
  <si>
    <t>Vietnam</t>
  </si>
  <si>
    <t>State Capital Investment Corporation (SCIC)</t>
  </si>
  <si>
    <t>Not precisely re-verified this session; order-of-magnitude only</t>
  </si>
  <si>
    <t>Malaysia</t>
  </si>
  <si>
    <t>Khazanah Nasional</t>
  </si>
  <si>
    <t>Praxis Rock (Apr'26, firm-reported, MYR105bn)</t>
  </si>
  <si>
    <t>Australia</t>
  </si>
  <si>
    <t>Future Fund</t>
  </si>
  <si>
    <t>Praxis Rock (Apr'26, firm-reported, A$335bn)</t>
  </si>
  <si>
    <t>Ireland</t>
  </si>
  <si>
    <t>ISIF + Future Ireland Fund (combined)</t>
  </si>
  <si>
    <t>Praxis Rock (Apr'26): ISIF ~$28bn; Future Ireland Fund newer/smaller and growing; Irish GDP distorted by multinational profit-shifting</t>
  </si>
  <si>
    <t>Indonesia</t>
  </si>
  <si>
    <t>Danantara (Daya Anagata Nusantara)</t>
  </si>
  <si>
    <t>IEEFA May 2026 (world's 8th-largest SWF); SOE assets ~71.5% of GDP per GovInsider</t>
  </si>
  <si>
    <t>Oman</t>
  </si>
  <si>
    <t>Oman Investment Authority (OIA)</t>
  </si>
  <si>
    <t>Middle East Online, May 2026 (23bn OMR); GDP approximate</t>
  </si>
  <si>
    <t>Bahrain</t>
  </si>
  <si>
    <t>Mumtalakat + Future Generations Reserve Fund</t>
  </si>
  <si>
    <t>Praxis Rock (Apr'26): Mumtalakat $20bn + FGRF $8bn</t>
  </si>
  <si>
    <t>Brunei</t>
  </si>
  <si>
    <t>Brunei Investment Agency (BIA)</t>
  </si>
  <si>
    <t>Praxis Rock estimate; BIA discloses nothing officially -- among least transparent SWFs worldwide</t>
  </si>
  <si>
    <t>Australia (Queensland, sub-national)</t>
  </si>
  <si>
    <t>QIC</t>
  </si>
  <si>
    <t>Praxis Rock (Apr'26, A$130bn); a state-level investment manager, not a national SWF</t>
  </si>
  <si>
    <t>New Zealand</t>
  </si>
  <si>
    <t>NZ Superannuation Fund</t>
  </si>
  <si>
    <t>FY 2025</t>
  </si>
  <si>
    <t>Praxis Rock (Apr'26, firm-reported, NZ$85bn, 11.84% return FY25)</t>
  </si>
  <si>
    <t>Botswana</t>
  </si>
  <si>
    <t>Pula Fund</t>
  </si>
  <si>
    <t>Christopher Sanchez &amp; Co. Aug-2025 (Bank of Botswana); a 2025 African-press figure of $1.92bn also circulates -- discrepancy unresolved</t>
  </si>
  <si>
    <t>Ghana</t>
  </si>
  <si>
    <t>Ghana Petroleum Funds (Heritage + Stabilisation)</t>
  </si>
  <si>
    <t>BusinessDay NG describes structure but gives no precise current AUM; treat as small (order of a few hundred million to ~$2bn)</t>
  </si>
  <si>
    <t>Zimbabwe</t>
  </si>
  <si>
    <t>Mutapa Investment Fund</t>
  </si>
  <si>
    <t>Jun-2024</t>
  </si>
  <si>
    <t>Christopher Sanchez &amp; Co. Aug-2025 (gross assets); created 2023 from consolidated SOEs</t>
  </si>
  <si>
    <t>Canada (Alberta, sub-national)</t>
  </si>
  <si>
    <t>Alberta Heritage Savings Trust Fund</t>
  </si>
  <si>
    <t>Praxis Rock (Apr'26, firm-reported); GDP is Alberta provincial GDP, approximate</t>
  </si>
  <si>
    <t>USA (Alaska, sub-national)</t>
  </si>
  <si>
    <t>Alaska Permanent Fund Corporation (APFC)</t>
  </si>
  <si>
    <t>Praxis Rock (Apr'26, firm-reported); GDP is Alaska state GDP, approximate</t>
  </si>
  <si>
    <t>USA (Texas, sub-national)</t>
  </si>
  <si>
    <t>Texas Permanent School Fund</t>
  </si>
  <si>
    <t>FY2025</t>
  </si>
  <si>
    <t>Praxis Rock (Apr'26, firm-reported); GDP is Texas state GDP, approximate</t>
  </si>
  <si>
    <t>Trinidad and Tobago</t>
  </si>
  <si>
    <t>Heritage and Stabilisation Fund (HSF)</t>
  </si>
  <si>
    <t>Sep-2024</t>
  </si>
  <si>
    <t>Christopher Sanchez &amp; Co. Aug-2025 (official NAV)</t>
  </si>
  <si>
    <t>Guyana</t>
  </si>
  <si>
    <t>Natural Resource Fund (NRF)</t>
  </si>
  <si>
    <t>Christopher Sanchez &amp; Co. Aug-2025; GDP has surged due to offshore oil, making the ratio volatile</t>
  </si>
  <si>
    <t>Chile</t>
  </si>
  <si>
    <t>Economic and Social Stabilization Fund (ESSF)</t>
  </si>
  <si>
    <t>Not precisely re-verified this session; historically a copper-revenue stabilisation fund, much smaller post-drawdowns</t>
  </si>
  <si>
    <t>Mexico</t>
  </si>
  <si>
    <t>FEIP + FEIEF (fiscal stabilisation funds)</t>
  </si>
  <si>
    <t>Christopher Sanchez &amp; Co.: balances diminished after repeated drawdowns, below $1bn</t>
  </si>
  <si>
    <t>Turkey</t>
  </si>
  <si>
    <t>Turkiye Wealth Fund (TWF)</t>
  </si>
  <si>
    <t>Wikipedia/WEF/Anadolu: estimates range $300-360bn; capitalized from transferred SOEs, not resource revenue; issues its own debt</t>
  </si>
  <si>
    <t>France*</t>
  </si>
  <si>
    <t>Caisse des Depots et Consignations (CDC)</t>
  </si>
  <si>
    <t>Praxis Rock (Apr'26); *NOT a Santiago-Principles SWF -- a public financial institution funded by savings deposits/pension reserves, included for reference only, excluded from total</t>
  </si>
  <si>
    <t>Italy*</t>
  </si>
  <si>
    <t>Cassa Depositi e Prestiti (CDP)</t>
  </si>
  <si>
    <t>Praxis Rock (Apr'26); *NOT a Santiago-Principles SWF -- funded by postal savings deposits, included for reference only, excluded from total</t>
  </si>
  <si>
    <t>WORLD TOTAL</t>
  </si>
  <si>
    <t>Sum of funds flagged 'Yes' in World Total column</t>
  </si>
  <si>
    <t>World GDP ~$110tn is an order-of-magnitude estimate (not verified this session). Total excludes rows flagged 'No' (subset/duplicate entries and non-SWF institutions) to avoid double-counting.</t>
  </si>
  <si>
    <t>Sourcing notes (originally the header row of each tab before the tabs were merged)</t>
  </si>
  <si>
    <t>Original countries section (rows first covered in the initial GDP-ratio request):</t>
  </si>
  <si>
    <t>Sources: SWFI, Global SWF, IFSWF, Wikipedia, national fund/ministry sources, press reporting (July 2026 searches).</t>
  </si>
  <si>
    <t>Additional countries section (rows added when completing the table with other sovereign-fund countries):</t>
  </si>
  <si>
    <t>Sources: Praxis Rock SWF Directory (verified Apr-2026), Christopher Sanchez &amp; Co. report (Aug-2025), Wikipedia, press reporting (July 2026 searches).</t>
  </si>
  <si>
    <t>General caveats:</t>
  </si>
  <si>
    <t>- GDP figures are approximate nominal GDP (order of magnitude, not verified line-by-line for every country).</t>
  </si>
  <si>
    <t>- Rows shaded yellow in the main tab = Low confidence (not independently re-verified this session).</t>
  </si>
  <si>
    <t>- Some entities (e.g. France's CDC, Italy's CDP, Canada's AIMCo/BCI) are public investment institutions sometimes</t>
  </si>
  <si>
    <t xml:space="preserve">  grouped with SWFs but are not strict Santiago-Principles sovereign wealth funds -- flagged in the Source/Note column</t>
  </si>
  <si>
    <t xml:space="preserve">  and excluded from the WORLD TOTAL.</t>
  </si>
  <si>
    <t>- The 'In World Total?' column marks Yes/No for inclusion in the WORLD TOTAL row, to avoid double-counting subset</t>
  </si>
  <si>
    <t xml:space="preserve">  rows (e.g. 'Singapore (GIC+Temasek only)' is a subset of the combined 'Singapore' row).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</si>
</sst>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b/>
      <sz val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99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165" fontId="2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165" fontId="5" fillId="4" borderId="1" xfId="0" applyNumberFormat="1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6" fillId="0" borderId="0" xfId="0" applyFont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3" fontId="3" fillId="0" borderId="1" xfId="0" applyNumberFormat="1" applyFont="1" applyBorder="1" applyAlignment="1">
      <alignment vertical="top"/>
    </xf>
    <xf numFmtId="3" fontId="3" fillId="3" borderId="1" xfId="0" applyNumberFormat="1" applyFont="1" applyFill="1" applyBorder="1" applyAlignment="1">
      <alignment vertical="top"/>
    </xf>
    <xf numFmtId="3" fontId="5" fillId="4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zoomScaleNormal="100" workbookViewId="0">
      <pane ySplit="1" topLeftCell="A23" activePane="bottomLeft" state="frozen"/>
      <selection pane="bottomLeft" activeCell="E5" sqref="E5"/>
    </sheetView>
  </sheetViews>
  <sheetFormatPr baseColWidth="10" defaultColWidth="8.7109375" defaultRowHeight="15" x14ac:dyDescent="0.25"/>
  <cols>
    <col min="1" max="1" width="26" customWidth="1"/>
    <col min="2" max="2" width="20" customWidth="1"/>
    <col min="3" max="3" width="42" customWidth="1"/>
    <col min="4" max="4" width="13" customWidth="1"/>
    <col min="5" max="5" width="15" customWidth="1"/>
    <col min="6" max="6" width="16" customWidth="1"/>
    <col min="7" max="7" width="13" customWidth="1"/>
    <col min="8" max="8" width="11" customWidth="1"/>
    <col min="9" max="9" width="12" customWidth="1"/>
    <col min="10" max="10" width="60" customWidth="1"/>
  </cols>
  <sheetData>
    <row r="1" spans="1:10" ht="25.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</v>
      </c>
      <c r="B2" s="2" t="s">
        <v>10</v>
      </c>
      <c r="C2" s="2" t="s">
        <v>12</v>
      </c>
      <c r="D2" s="15">
        <v>2100</v>
      </c>
      <c r="E2" s="2" t="s">
        <v>13</v>
      </c>
      <c r="F2" s="15">
        <v>485</v>
      </c>
      <c r="G2" s="3">
        <f t="shared" ref="G2:G47" si="0">D2/F2</f>
        <v>4.3298969072164946</v>
      </c>
      <c r="H2" s="2" t="s">
        <v>14</v>
      </c>
      <c r="I2" s="2" t="s">
        <v>15</v>
      </c>
      <c r="J2" s="4" t="s">
        <v>16</v>
      </c>
    </row>
    <row r="3" spans="1:10" ht="36" x14ac:dyDescent="0.25">
      <c r="A3" s="2" t="s">
        <v>18</v>
      </c>
      <c r="B3" s="2" t="s">
        <v>17</v>
      </c>
      <c r="C3" s="2" t="s">
        <v>19</v>
      </c>
      <c r="D3" s="15">
        <v>2010</v>
      </c>
      <c r="E3" s="2" t="s">
        <v>20</v>
      </c>
      <c r="F3" s="15">
        <v>540</v>
      </c>
      <c r="G3" s="3">
        <f t="shared" si="0"/>
        <v>3.7222222222222223</v>
      </c>
      <c r="H3" s="2" t="s">
        <v>14</v>
      </c>
      <c r="I3" s="2" t="s">
        <v>15</v>
      </c>
      <c r="J3" s="4" t="s">
        <v>21</v>
      </c>
    </row>
    <row r="4" spans="1:10" x14ac:dyDescent="0.25">
      <c r="A4" s="2" t="s">
        <v>22</v>
      </c>
      <c r="B4" s="2" t="s">
        <v>17</v>
      </c>
      <c r="C4" s="2" t="s">
        <v>23</v>
      </c>
      <c r="D4" s="15">
        <v>525</v>
      </c>
      <c r="E4" s="2" t="s">
        <v>20</v>
      </c>
      <c r="F4" s="15">
        <v>220</v>
      </c>
      <c r="G4" s="3">
        <f t="shared" si="0"/>
        <v>2.3863636363636362</v>
      </c>
      <c r="H4" s="2" t="s">
        <v>14</v>
      </c>
      <c r="I4" s="2" t="s">
        <v>15</v>
      </c>
      <c r="J4" s="4" t="s">
        <v>24</v>
      </c>
    </row>
    <row r="5" spans="1:10" x14ac:dyDescent="0.25">
      <c r="A5" s="2" t="s">
        <v>25</v>
      </c>
      <c r="B5" s="2" t="s">
        <v>17</v>
      </c>
      <c r="C5" s="2" t="s">
        <v>26</v>
      </c>
      <c r="D5" s="15">
        <v>1030</v>
      </c>
      <c r="E5" s="2" t="s">
        <v>20</v>
      </c>
      <c r="F5" s="15">
        <v>160</v>
      </c>
      <c r="G5" s="3">
        <f t="shared" si="0"/>
        <v>6.4375</v>
      </c>
      <c r="H5" s="2" t="s">
        <v>14</v>
      </c>
      <c r="I5" s="2" t="s">
        <v>15</v>
      </c>
      <c r="J5" s="4" t="s">
        <v>27</v>
      </c>
    </row>
    <row r="6" spans="1:10" x14ac:dyDescent="0.25">
      <c r="A6" s="2" t="s">
        <v>29</v>
      </c>
      <c r="B6" s="2" t="s">
        <v>28</v>
      </c>
      <c r="C6" s="2" t="s">
        <v>30</v>
      </c>
      <c r="D6" s="15">
        <v>1660</v>
      </c>
      <c r="E6" s="2" t="s">
        <v>31</v>
      </c>
      <c r="F6" s="15">
        <v>525</v>
      </c>
      <c r="G6" s="3">
        <f t="shared" si="0"/>
        <v>3.1619047619047618</v>
      </c>
      <c r="H6" s="2" t="s">
        <v>32</v>
      </c>
      <c r="I6" s="2" t="s">
        <v>15</v>
      </c>
      <c r="J6" s="4" t="s">
        <v>33</v>
      </c>
    </row>
    <row r="7" spans="1:10" ht="24" x14ac:dyDescent="0.25">
      <c r="A7" s="2" t="s">
        <v>34</v>
      </c>
      <c r="B7" s="2" t="s">
        <v>28</v>
      </c>
      <c r="C7" s="2" t="s">
        <v>35</v>
      </c>
      <c r="D7" s="15">
        <v>1260</v>
      </c>
      <c r="E7" s="2" t="s">
        <v>31</v>
      </c>
      <c r="F7" s="15">
        <v>525</v>
      </c>
      <c r="G7" s="3">
        <f t="shared" si="0"/>
        <v>2.4</v>
      </c>
      <c r="H7" s="2" t="s">
        <v>32</v>
      </c>
      <c r="I7" s="2" t="s">
        <v>36</v>
      </c>
      <c r="J7" s="4" t="s">
        <v>37</v>
      </c>
    </row>
    <row r="8" spans="1:10" x14ac:dyDescent="0.25">
      <c r="A8" s="2" t="s">
        <v>38</v>
      </c>
      <c r="B8" s="2" t="s">
        <v>17</v>
      </c>
      <c r="C8" s="2" t="s">
        <v>39</v>
      </c>
      <c r="D8" s="15">
        <v>900</v>
      </c>
      <c r="E8" s="2" t="s">
        <v>20</v>
      </c>
      <c r="F8" s="15">
        <v>1100</v>
      </c>
      <c r="G8" s="3">
        <f t="shared" si="0"/>
        <v>0.81818181818181823</v>
      </c>
      <c r="H8" s="2" t="s">
        <v>14</v>
      </c>
      <c r="I8" s="2" t="s">
        <v>15</v>
      </c>
      <c r="J8" s="4" t="s">
        <v>40</v>
      </c>
    </row>
    <row r="9" spans="1:10" ht="24" x14ac:dyDescent="0.25">
      <c r="A9" s="2" t="s">
        <v>41</v>
      </c>
      <c r="B9" s="2" t="s">
        <v>28</v>
      </c>
      <c r="C9" s="2" t="s">
        <v>42</v>
      </c>
      <c r="D9" s="15">
        <v>19</v>
      </c>
      <c r="E9" s="2" t="s">
        <v>43</v>
      </c>
      <c r="F9" s="15">
        <v>2</v>
      </c>
      <c r="G9" s="3">
        <f t="shared" si="0"/>
        <v>9.5</v>
      </c>
      <c r="H9" s="2" t="s">
        <v>32</v>
      </c>
      <c r="I9" s="2" t="s">
        <v>15</v>
      </c>
      <c r="J9" s="4" t="s">
        <v>44</v>
      </c>
    </row>
    <row r="10" spans="1:10" ht="24" x14ac:dyDescent="0.25">
      <c r="A10" s="5" t="s">
        <v>45</v>
      </c>
      <c r="B10" s="5" t="s">
        <v>28</v>
      </c>
      <c r="C10" s="5" t="s">
        <v>46</v>
      </c>
      <c r="D10" s="16">
        <v>1.5</v>
      </c>
      <c r="E10" s="5" t="s">
        <v>47</v>
      </c>
      <c r="F10" s="16">
        <v>0.28000000000000003</v>
      </c>
      <c r="G10" s="6">
        <f t="shared" si="0"/>
        <v>5.3571428571428568</v>
      </c>
      <c r="H10" s="5" t="s">
        <v>48</v>
      </c>
      <c r="I10" s="5" t="s">
        <v>15</v>
      </c>
      <c r="J10" s="7" t="s">
        <v>49</v>
      </c>
    </row>
    <row r="11" spans="1:10" ht="24" x14ac:dyDescent="0.25">
      <c r="A11" s="2" t="s">
        <v>51</v>
      </c>
      <c r="B11" s="2" t="s">
        <v>50</v>
      </c>
      <c r="C11" s="2" t="s">
        <v>52</v>
      </c>
      <c r="D11" s="15">
        <v>20</v>
      </c>
      <c r="E11" s="2" t="s">
        <v>53</v>
      </c>
      <c r="F11" s="15">
        <v>2200</v>
      </c>
      <c r="G11" s="3">
        <f t="shared" si="0"/>
        <v>9.0909090909090905E-3</v>
      </c>
      <c r="H11" s="2" t="s">
        <v>32</v>
      </c>
      <c r="I11" s="2" t="s">
        <v>15</v>
      </c>
      <c r="J11" s="4" t="s">
        <v>54</v>
      </c>
    </row>
    <row r="12" spans="1:10" ht="24" x14ac:dyDescent="0.25">
      <c r="A12" s="2" t="s">
        <v>56</v>
      </c>
      <c r="B12" s="2" t="s">
        <v>55</v>
      </c>
      <c r="C12" s="2" t="s">
        <v>57</v>
      </c>
      <c r="D12" s="15">
        <v>190</v>
      </c>
      <c r="E12" s="2" t="s">
        <v>58</v>
      </c>
      <c r="F12" s="15">
        <v>2200</v>
      </c>
      <c r="G12" s="3">
        <f t="shared" si="0"/>
        <v>8.6363636363636365E-2</v>
      </c>
      <c r="H12" s="2" t="s">
        <v>32</v>
      </c>
      <c r="I12" s="2" t="s">
        <v>15</v>
      </c>
      <c r="J12" s="4" t="s">
        <v>59</v>
      </c>
    </row>
    <row r="13" spans="1:10" ht="24" x14ac:dyDescent="0.25">
      <c r="A13" s="2" t="s">
        <v>60</v>
      </c>
      <c r="B13" s="2" t="s">
        <v>55</v>
      </c>
      <c r="C13" s="2" t="s">
        <v>61</v>
      </c>
      <c r="D13" s="15">
        <v>66.2</v>
      </c>
      <c r="E13" s="2" t="s">
        <v>62</v>
      </c>
      <c r="F13" s="15">
        <v>256</v>
      </c>
      <c r="G13" s="3">
        <f t="shared" si="0"/>
        <v>0.25859375000000001</v>
      </c>
      <c r="H13" s="2" t="s">
        <v>14</v>
      </c>
      <c r="I13" s="2" t="s">
        <v>15</v>
      </c>
      <c r="J13" s="4" t="s">
        <v>63</v>
      </c>
    </row>
    <row r="14" spans="1:10" ht="24" x14ac:dyDescent="0.25">
      <c r="A14" s="2" t="s">
        <v>64</v>
      </c>
      <c r="B14" s="2" t="s">
        <v>55</v>
      </c>
      <c r="C14" s="2" t="s">
        <v>65</v>
      </c>
      <c r="D14" s="15">
        <v>69</v>
      </c>
      <c r="E14" s="2" t="s">
        <v>20</v>
      </c>
      <c r="F14" s="15">
        <v>340</v>
      </c>
      <c r="G14" s="3">
        <f t="shared" si="0"/>
        <v>0.20294117647058824</v>
      </c>
      <c r="H14" s="2" t="s">
        <v>32</v>
      </c>
      <c r="I14" s="2" t="s">
        <v>15</v>
      </c>
      <c r="J14" s="4" t="s">
        <v>66</v>
      </c>
    </row>
    <row r="15" spans="1:10" ht="24" x14ac:dyDescent="0.25">
      <c r="A15" s="2" t="s">
        <v>67</v>
      </c>
      <c r="B15" s="2" t="s">
        <v>17</v>
      </c>
      <c r="C15" s="2" t="s">
        <v>68</v>
      </c>
      <c r="D15" s="15">
        <v>70</v>
      </c>
      <c r="E15" s="2" t="s">
        <v>69</v>
      </c>
      <c r="F15" s="15">
        <v>45</v>
      </c>
      <c r="G15" s="3">
        <f t="shared" si="0"/>
        <v>1.5555555555555556</v>
      </c>
      <c r="H15" s="2" t="s">
        <v>32</v>
      </c>
      <c r="I15" s="2" t="s">
        <v>15</v>
      </c>
      <c r="J15" s="4" t="s">
        <v>70</v>
      </c>
    </row>
    <row r="16" spans="1:10" ht="24" x14ac:dyDescent="0.25">
      <c r="A16" s="2" t="s">
        <v>72</v>
      </c>
      <c r="B16" s="2" t="s">
        <v>71</v>
      </c>
      <c r="C16" s="2" t="s">
        <v>73</v>
      </c>
      <c r="D16" s="15">
        <v>2.5</v>
      </c>
      <c r="E16" s="2" t="s">
        <v>62</v>
      </c>
      <c r="F16" s="15">
        <v>100</v>
      </c>
      <c r="G16" s="3">
        <f t="shared" si="0"/>
        <v>2.5000000000000001E-2</v>
      </c>
      <c r="H16" s="2" t="s">
        <v>32</v>
      </c>
      <c r="I16" s="2" t="s">
        <v>15</v>
      </c>
      <c r="J16" s="4" t="s">
        <v>74</v>
      </c>
    </row>
    <row r="17" spans="1:10" ht="24" x14ac:dyDescent="0.25">
      <c r="A17" s="2" t="s">
        <v>75</v>
      </c>
      <c r="B17" s="2" t="s">
        <v>71</v>
      </c>
      <c r="C17" s="2" t="s">
        <v>76</v>
      </c>
      <c r="D17" s="15">
        <v>3.2</v>
      </c>
      <c r="E17" s="2" t="s">
        <v>31</v>
      </c>
      <c r="F17" s="15">
        <v>390</v>
      </c>
      <c r="G17" s="3">
        <f t="shared" si="0"/>
        <v>8.2051282051282051E-3</v>
      </c>
      <c r="H17" s="2" t="s">
        <v>32</v>
      </c>
      <c r="I17" s="2" t="s">
        <v>15</v>
      </c>
      <c r="J17" s="4" t="s">
        <v>77</v>
      </c>
    </row>
    <row r="18" spans="1:10" ht="24" x14ac:dyDescent="0.25">
      <c r="A18" s="5" t="s">
        <v>78</v>
      </c>
      <c r="B18" s="5" t="s">
        <v>17</v>
      </c>
      <c r="C18" s="5" t="s">
        <v>79</v>
      </c>
      <c r="D18" s="16">
        <v>10</v>
      </c>
      <c r="E18" s="5" t="s">
        <v>80</v>
      </c>
      <c r="F18" s="16">
        <v>400</v>
      </c>
      <c r="G18" s="6">
        <f t="shared" si="0"/>
        <v>2.5000000000000001E-2</v>
      </c>
      <c r="H18" s="5" t="s">
        <v>48</v>
      </c>
      <c r="I18" s="5" t="s">
        <v>15</v>
      </c>
      <c r="J18" s="7" t="s">
        <v>81</v>
      </c>
    </row>
    <row r="19" spans="1:10" x14ac:dyDescent="0.25">
      <c r="A19" s="2" t="s">
        <v>82</v>
      </c>
      <c r="B19" s="2" t="s">
        <v>55</v>
      </c>
      <c r="C19" s="2" t="s">
        <v>83</v>
      </c>
      <c r="D19" s="15">
        <v>60</v>
      </c>
      <c r="E19" s="2" t="s">
        <v>84</v>
      </c>
      <c r="F19" s="15">
        <v>78</v>
      </c>
      <c r="G19" s="3">
        <f t="shared" si="0"/>
        <v>0.76923076923076927</v>
      </c>
      <c r="H19" s="2" t="s">
        <v>14</v>
      </c>
      <c r="I19" s="2" t="s">
        <v>15</v>
      </c>
      <c r="J19" s="4" t="s">
        <v>85</v>
      </c>
    </row>
    <row r="20" spans="1:10" ht="24" x14ac:dyDescent="0.25">
      <c r="A20" s="2" t="s">
        <v>86</v>
      </c>
      <c r="B20" s="2" t="s">
        <v>28</v>
      </c>
      <c r="C20" s="2" t="s">
        <v>87</v>
      </c>
      <c r="D20" s="15">
        <v>2700</v>
      </c>
      <c r="E20" s="2" t="s">
        <v>88</v>
      </c>
      <c r="F20" s="15">
        <v>19000</v>
      </c>
      <c r="G20" s="3">
        <f t="shared" si="0"/>
        <v>0.14210526315789473</v>
      </c>
      <c r="H20" s="2" t="s">
        <v>89</v>
      </c>
      <c r="I20" s="2" t="s">
        <v>15</v>
      </c>
      <c r="J20" s="4" t="s">
        <v>90</v>
      </c>
    </row>
    <row r="21" spans="1:10" ht="24" x14ac:dyDescent="0.25">
      <c r="A21" s="2" t="s">
        <v>91</v>
      </c>
      <c r="B21" s="2" t="s">
        <v>28</v>
      </c>
      <c r="C21" s="2" t="s">
        <v>92</v>
      </c>
      <c r="D21" s="15">
        <v>1567</v>
      </c>
      <c r="E21" s="2" t="s">
        <v>93</v>
      </c>
      <c r="F21" s="15">
        <v>19000</v>
      </c>
      <c r="G21" s="3">
        <f t="shared" si="0"/>
        <v>8.247368421052631E-2</v>
      </c>
      <c r="H21" s="2" t="s">
        <v>14</v>
      </c>
      <c r="I21" s="2" t="s">
        <v>36</v>
      </c>
      <c r="J21" s="4" t="s">
        <v>94</v>
      </c>
    </row>
    <row r="22" spans="1:10" ht="24" x14ac:dyDescent="0.25">
      <c r="A22" s="2" t="s">
        <v>95</v>
      </c>
      <c r="B22" s="2" t="s">
        <v>28</v>
      </c>
      <c r="C22" s="2" t="s">
        <v>96</v>
      </c>
      <c r="D22" s="15">
        <v>531</v>
      </c>
      <c r="E22" s="2" t="s">
        <v>13</v>
      </c>
      <c r="F22" s="15">
        <v>400</v>
      </c>
      <c r="G22" s="3">
        <f t="shared" si="0"/>
        <v>1.3274999999999999</v>
      </c>
      <c r="H22" s="2" t="s">
        <v>14</v>
      </c>
      <c r="I22" s="2" t="s">
        <v>15</v>
      </c>
      <c r="J22" s="4" t="s">
        <v>97</v>
      </c>
    </row>
    <row r="23" spans="1:10" x14ac:dyDescent="0.25">
      <c r="A23" s="2" t="s">
        <v>98</v>
      </c>
      <c r="B23" s="2" t="s">
        <v>28</v>
      </c>
      <c r="C23" s="2" t="s">
        <v>99</v>
      </c>
      <c r="D23" s="15">
        <v>232</v>
      </c>
      <c r="E23" s="2" t="s">
        <v>20</v>
      </c>
      <c r="F23" s="15">
        <v>1900</v>
      </c>
      <c r="G23" s="3">
        <f t="shared" si="0"/>
        <v>0.12210526315789473</v>
      </c>
      <c r="H23" s="2" t="s">
        <v>14</v>
      </c>
      <c r="I23" s="2" t="s">
        <v>15</v>
      </c>
      <c r="J23" s="4" t="s">
        <v>100</v>
      </c>
    </row>
    <row r="24" spans="1:10" x14ac:dyDescent="0.25">
      <c r="A24" s="5" t="s">
        <v>101</v>
      </c>
      <c r="B24" s="5" t="s">
        <v>28</v>
      </c>
      <c r="C24" s="5" t="s">
        <v>102</v>
      </c>
      <c r="D24" s="16">
        <v>5</v>
      </c>
      <c r="E24" s="5" t="s">
        <v>47</v>
      </c>
      <c r="F24" s="16">
        <v>430</v>
      </c>
      <c r="G24" s="6">
        <f t="shared" si="0"/>
        <v>1.1627906976744186E-2</v>
      </c>
      <c r="H24" s="5" t="s">
        <v>48</v>
      </c>
      <c r="I24" s="5" t="s">
        <v>15</v>
      </c>
      <c r="J24" s="7" t="s">
        <v>103</v>
      </c>
    </row>
    <row r="25" spans="1:10" x14ac:dyDescent="0.25">
      <c r="A25" s="2" t="s">
        <v>104</v>
      </c>
      <c r="B25" s="2" t="s">
        <v>28</v>
      </c>
      <c r="C25" s="2" t="s">
        <v>105</v>
      </c>
      <c r="D25" s="15">
        <v>26</v>
      </c>
      <c r="E25" s="2" t="s">
        <v>20</v>
      </c>
      <c r="F25" s="15">
        <v>440</v>
      </c>
      <c r="G25" s="3">
        <f t="shared" si="0"/>
        <v>5.909090909090909E-2</v>
      </c>
      <c r="H25" s="2" t="s">
        <v>14</v>
      </c>
      <c r="I25" s="2" t="s">
        <v>15</v>
      </c>
      <c r="J25" s="4" t="s">
        <v>106</v>
      </c>
    </row>
    <row r="26" spans="1:10" x14ac:dyDescent="0.25">
      <c r="A26" s="2" t="s">
        <v>107</v>
      </c>
      <c r="B26" s="2" t="s">
        <v>28</v>
      </c>
      <c r="C26" s="2" t="s">
        <v>108</v>
      </c>
      <c r="D26" s="15">
        <v>235</v>
      </c>
      <c r="E26" s="2" t="s">
        <v>20</v>
      </c>
      <c r="F26" s="15">
        <v>1800</v>
      </c>
      <c r="G26" s="3">
        <f t="shared" si="0"/>
        <v>0.13055555555555556</v>
      </c>
      <c r="H26" s="2" t="s">
        <v>14</v>
      </c>
      <c r="I26" s="2" t="s">
        <v>15</v>
      </c>
      <c r="J26" s="4" t="s">
        <v>109</v>
      </c>
    </row>
    <row r="27" spans="1:10" ht="24" x14ac:dyDescent="0.25">
      <c r="A27" s="2" t="s">
        <v>110</v>
      </c>
      <c r="B27" s="2" t="s">
        <v>10</v>
      </c>
      <c r="C27" s="2" t="s">
        <v>111</v>
      </c>
      <c r="D27" s="15">
        <v>28</v>
      </c>
      <c r="E27" s="2" t="s">
        <v>20</v>
      </c>
      <c r="F27" s="15">
        <v>550</v>
      </c>
      <c r="G27" s="3">
        <f t="shared" si="0"/>
        <v>5.0909090909090911E-2</v>
      </c>
      <c r="H27" s="2" t="s">
        <v>32</v>
      </c>
      <c r="I27" s="2" t="s">
        <v>15</v>
      </c>
      <c r="J27" s="4" t="s">
        <v>112</v>
      </c>
    </row>
    <row r="28" spans="1:10" ht="24" x14ac:dyDescent="0.25">
      <c r="A28" s="2" t="s">
        <v>113</v>
      </c>
      <c r="B28" s="2" t="s">
        <v>28</v>
      </c>
      <c r="C28" s="2" t="s">
        <v>114</v>
      </c>
      <c r="D28" s="15">
        <v>900</v>
      </c>
      <c r="E28" s="2" t="s">
        <v>31</v>
      </c>
      <c r="F28" s="15">
        <v>1400</v>
      </c>
      <c r="G28" s="3">
        <f t="shared" si="0"/>
        <v>0.6428571428571429</v>
      </c>
      <c r="H28" s="2" t="s">
        <v>14</v>
      </c>
      <c r="I28" s="2" t="s">
        <v>15</v>
      </c>
      <c r="J28" s="4" t="s">
        <v>115</v>
      </c>
    </row>
    <row r="29" spans="1:10" x14ac:dyDescent="0.25">
      <c r="A29" s="2" t="s">
        <v>116</v>
      </c>
      <c r="B29" s="2" t="s">
        <v>17</v>
      </c>
      <c r="C29" s="2" t="s">
        <v>117</v>
      </c>
      <c r="D29" s="15">
        <v>59.7</v>
      </c>
      <c r="E29" s="2" t="s">
        <v>13</v>
      </c>
      <c r="F29" s="15">
        <v>115</v>
      </c>
      <c r="G29" s="3">
        <f t="shared" si="0"/>
        <v>0.51913043478260867</v>
      </c>
      <c r="H29" s="2" t="s">
        <v>14</v>
      </c>
      <c r="I29" s="2" t="s">
        <v>15</v>
      </c>
      <c r="J29" s="4" t="s">
        <v>118</v>
      </c>
    </row>
    <row r="30" spans="1:10" x14ac:dyDescent="0.25">
      <c r="A30" s="2" t="s">
        <v>119</v>
      </c>
      <c r="B30" s="2" t="s">
        <v>17</v>
      </c>
      <c r="C30" s="2" t="s">
        <v>120</v>
      </c>
      <c r="D30" s="15">
        <v>28</v>
      </c>
      <c r="E30" s="2" t="s">
        <v>20</v>
      </c>
      <c r="F30" s="15">
        <v>44</v>
      </c>
      <c r="G30" s="3">
        <f t="shared" si="0"/>
        <v>0.63636363636363635</v>
      </c>
      <c r="H30" s="2" t="s">
        <v>32</v>
      </c>
      <c r="I30" s="2" t="s">
        <v>15</v>
      </c>
      <c r="J30" s="4" t="s">
        <v>121</v>
      </c>
    </row>
    <row r="31" spans="1:10" ht="24" x14ac:dyDescent="0.25">
      <c r="A31" s="5" t="s">
        <v>122</v>
      </c>
      <c r="B31" s="5" t="s">
        <v>17</v>
      </c>
      <c r="C31" s="5" t="s">
        <v>123</v>
      </c>
      <c r="D31" s="16">
        <v>78</v>
      </c>
      <c r="E31" s="5" t="s">
        <v>20</v>
      </c>
      <c r="F31" s="16">
        <v>15</v>
      </c>
      <c r="G31" s="6">
        <f t="shared" si="0"/>
        <v>5.2</v>
      </c>
      <c r="H31" s="5" t="s">
        <v>48</v>
      </c>
      <c r="I31" s="5" t="s">
        <v>15</v>
      </c>
      <c r="J31" s="7" t="s">
        <v>124</v>
      </c>
    </row>
    <row r="32" spans="1:10" ht="24" x14ac:dyDescent="0.25">
      <c r="A32" s="2" t="s">
        <v>125</v>
      </c>
      <c r="B32" s="2" t="s">
        <v>28</v>
      </c>
      <c r="C32" s="2" t="s">
        <v>126</v>
      </c>
      <c r="D32" s="15">
        <v>90</v>
      </c>
      <c r="E32" s="2" t="s">
        <v>20</v>
      </c>
      <c r="F32" s="15">
        <v>1800</v>
      </c>
      <c r="G32" s="3">
        <f t="shared" si="0"/>
        <v>0.05</v>
      </c>
      <c r="H32" s="2" t="s">
        <v>32</v>
      </c>
      <c r="I32" s="2" t="s">
        <v>15</v>
      </c>
      <c r="J32" s="4" t="s">
        <v>127</v>
      </c>
    </row>
    <row r="33" spans="1:10" x14ac:dyDescent="0.25">
      <c r="A33" s="2" t="s">
        <v>128</v>
      </c>
      <c r="B33" s="2" t="s">
        <v>28</v>
      </c>
      <c r="C33" s="2" t="s">
        <v>129</v>
      </c>
      <c r="D33" s="15">
        <v>52</v>
      </c>
      <c r="E33" s="2" t="s">
        <v>130</v>
      </c>
      <c r="F33" s="15">
        <v>250</v>
      </c>
      <c r="G33" s="3">
        <f t="shared" si="0"/>
        <v>0.20799999999999999</v>
      </c>
      <c r="H33" s="2" t="s">
        <v>14</v>
      </c>
      <c r="I33" s="2" t="s">
        <v>15</v>
      </c>
      <c r="J33" s="4" t="s">
        <v>131</v>
      </c>
    </row>
    <row r="34" spans="1:10" ht="24" x14ac:dyDescent="0.25">
      <c r="A34" s="2" t="s">
        <v>132</v>
      </c>
      <c r="B34" s="2" t="s">
        <v>71</v>
      </c>
      <c r="C34" s="2" t="s">
        <v>133</v>
      </c>
      <c r="D34" s="15">
        <v>3.5</v>
      </c>
      <c r="E34" s="2" t="s">
        <v>62</v>
      </c>
      <c r="F34" s="15">
        <v>20</v>
      </c>
      <c r="G34" s="3">
        <f t="shared" si="0"/>
        <v>0.17499999999999999</v>
      </c>
      <c r="H34" s="2" t="s">
        <v>32</v>
      </c>
      <c r="I34" s="2" t="s">
        <v>15</v>
      </c>
      <c r="J34" s="4" t="s">
        <v>134</v>
      </c>
    </row>
    <row r="35" spans="1:10" ht="24" x14ac:dyDescent="0.25">
      <c r="A35" s="5" t="s">
        <v>135</v>
      </c>
      <c r="B35" s="5" t="s">
        <v>71</v>
      </c>
      <c r="C35" s="5" t="s">
        <v>136</v>
      </c>
      <c r="D35" s="16">
        <v>2</v>
      </c>
      <c r="E35" s="5" t="s">
        <v>47</v>
      </c>
      <c r="F35" s="16">
        <v>80</v>
      </c>
      <c r="G35" s="6">
        <f t="shared" si="0"/>
        <v>2.5000000000000001E-2</v>
      </c>
      <c r="H35" s="5" t="s">
        <v>48</v>
      </c>
      <c r="I35" s="5" t="s">
        <v>15</v>
      </c>
      <c r="J35" s="7" t="s">
        <v>137</v>
      </c>
    </row>
    <row r="36" spans="1:10" ht="24" x14ac:dyDescent="0.25">
      <c r="A36" s="2" t="s">
        <v>138</v>
      </c>
      <c r="B36" s="2" t="s">
        <v>71</v>
      </c>
      <c r="C36" s="2" t="s">
        <v>139</v>
      </c>
      <c r="D36" s="15">
        <v>16</v>
      </c>
      <c r="E36" s="2" t="s">
        <v>140</v>
      </c>
      <c r="F36" s="15">
        <v>35</v>
      </c>
      <c r="G36" s="3">
        <f t="shared" si="0"/>
        <v>0.45714285714285713</v>
      </c>
      <c r="H36" s="2" t="s">
        <v>32</v>
      </c>
      <c r="I36" s="2" t="s">
        <v>15</v>
      </c>
      <c r="J36" s="4" t="s">
        <v>141</v>
      </c>
    </row>
    <row r="37" spans="1:10" ht="24" x14ac:dyDescent="0.25">
      <c r="A37" s="2" t="s">
        <v>142</v>
      </c>
      <c r="B37" s="2" t="s">
        <v>50</v>
      </c>
      <c r="C37" s="2" t="s">
        <v>143</v>
      </c>
      <c r="D37" s="15">
        <v>18</v>
      </c>
      <c r="E37" s="2" t="s">
        <v>20</v>
      </c>
      <c r="F37" s="15">
        <v>270</v>
      </c>
      <c r="G37" s="3">
        <f t="shared" si="0"/>
        <v>6.6666666666666666E-2</v>
      </c>
      <c r="H37" s="2" t="s">
        <v>32</v>
      </c>
      <c r="I37" s="2" t="s">
        <v>15</v>
      </c>
      <c r="J37" s="4" t="s">
        <v>144</v>
      </c>
    </row>
    <row r="38" spans="1:10" ht="24" x14ac:dyDescent="0.25">
      <c r="A38" s="2" t="s">
        <v>145</v>
      </c>
      <c r="B38" s="2" t="s">
        <v>50</v>
      </c>
      <c r="C38" s="2" t="s">
        <v>146</v>
      </c>
      <c r="D38" s="15">
        <v>88.8</v>
      </c>
      <c r="E38" s="2" t="s">
        <v>20</v>
      </c>
      <c r="F38" s="15">
        <v>65</v>
      </c>
      <c r="G38" s="3">
        <f t="shared" si="0"/>
        <v>1.3661538461538461</v>
      </c>
      <c r="H38" s="2" t="s">
        <v>14</v>
      </c>
      <c r="I38" s="2" t="s">
        <v>15</v>
      </c>
      <c r="J38" s="4" t="s">
        <v>147</v>
      </c>
    </row>
    <row r="39" spans="1:10" x14ac:dyDescent="0.25">
      <c r="A39" s="2" t="s">
        <v>148</v>
      </c>
      <c r="B39" s="2" t="s">
        <v>50</v>
      </c>
      <c r="C39" s="2" t="s">
        <v>149</v>
      </c>
      <c r="D39" s="15">
        <v>60.6</v>
      </c>
      <c r="E39" s="2" t="s">
        <v>150</v>
      </c>
      <c r="F39" s="15">
        <v>2700</v>
      </c>
      <c r="G39" s="3">
        <f t="shared" si="0"/>
        <v>2.2444444444444444E-2</v>
      </c>
      <c r="H39" s="2" t="s">
        <v>32</v>
      </c>
      <c r="I39" s="2" t="s">
        <v>15</v>
      </c>
      <c r="J39" s="4" t="s">
        <v>151</v>
      </c>
    </row>
    <row r="40" spans="1:10" x14ac:dyDescent="0.25">
      <c r="A40" s="2" t="s">
        <v>152</v>
      </c>
      <c r="B40" s="2" t="s">
        <v>50</v>
      </c>
      <c r="C40" s="2" t="s">
        <v>153</v>
      </c>
      <c r="D40" s="15">
        <v>6.1</v>
      </c>
      <c r="E40" s="2" t="s">
        <v>154</v>
      </c>
      <c r="F40" s="15">
        <v>28</v>
      </c>
      <c r="G40" s="3">
        <f t="shared" si="0"/>
        <v>0.21785714285714283</v>
      </c>
      <c r="H40" s="2" t="s">
        <v>32</v>
      </c>
      <c r="I40" s="2" t="s">
        <v>15</v>
      </c>
      <c r="J40" s="4" t="s">
        <v>155</v>
      </c>
    </row>
    <row r="41" spans="1:10" ht="24" x14ac:dyDescent="0.25">
      <c r="A41" s="2" t="s">
        <v>156</v>
      </c>
      <c r="B41" s="2" t="s">
        <v>50</v>
      </c>
      <c r="C41" s="2" t="s">
        <v>157</v>
      </c>
      <c r="D41" s="15">
        <v>3.1</v>
      </c>
      <c r="E41" s="2" t="s">
        <v>62</v>
      </c>
      <c r="F41" s="15">
        <v>25</v>
      </c>
      <c r="G41" s="3">
        <f t="shared" si="0"/>
        <v>0.124</v>
      </c>
      <c r="H41" s="2" t="s">
        <v>32</v>
      </c>
      <c r="I41" s="2" t="s">
        <v>15</v>
      </c>
      <c r="J41" s="4" t="s">
        <v>158</v>
      </c>
    </row>
    <row r="42" spans="1:10" ht="24" x14ac:dyDescent="0.25">
      <c r="A42" s="5" t="s">
        <v>159</v>
      </c>
      <c r="B42" s="5" t="s">
        <v>50</v>
      </c>
      <c r="C42" s="5" t="s">
        <v>160</v>
      </c>
      <c r="D42" s="16">
        <v>3.5</v>
      </c>
      <c r="E42" s="5" t="s">
        <v>47</v>
      </c>
      <c r="F42" s="16">
        <v>320</v>
      </c>
      <c r="G42" s="6">
        <f t="shared" si="0"/>
        <v>1.0937499999999999E-2</v>
      </c>
      <c r="H42" s="5" t="s">
        <v>48</v>
      </c>
      <c r="I42" s="5" t="s">
        <v>15</v>
      </c>
      <c r="J42" s="7" t="s">
        <v>161</v>
      </c>
    </row>
    <row r="43" spans="1:10" ht="24" x14ac:dyDescent="0.25">
      <c r="A43" s="5" t="s">
        <v>162</v>
      </c>
      <c r="B43" s="5" t="s">
        <v>50</v>
      </c>
      <c r="C43" s="5" t="s">
        <v>163</v>
      </c>
      <c r="D43" s="16">
        <v>0.9</v>
      </c>
      <c r="E43" s="5" t="s">
        <v>62</v>
      </c>
      <c r="F43" s="16">
        <v>1800</v>
      </c>
      <c r="G43" s="6">
        <f t="shared" si="0"/>
        <v>5.0000000000000001E-4</v>
      </c>
      <c r="H43" s="5" t="s">
        <v>48</v>
      </c>
      <c r="I43" s="5" t="s">
        <v>15</v>
      </c>
      <c r="J43" s="7" t="s">
        <v>164</v>
      </c>
    </row>
    <row r="44" spans="1:10" ht="24" x14ac:dyDescent="0.25">
      <c r="A44" s="2" t="s">
        <v>165</v>
      </c>
      <c r="B44" s="2" t="s">
        <v>10</v>
      </c>
      <c r="C44" s="2" t="s">
        <v>166</v>
      </c>
      <c r="D44" s="15">
        <v>340</v>
      </c>
      <c r="E44" s="2" t="s">
        <v>88</v>
      </c>
      <c r="F44" s="15">
        <v>1100</v>
      </c>
      <c r="G44" s="3">
        <f t="shared" si="0"/>
        <v>0.30909090909090908</v>
      </c>
      <c r="H44" s="2" t="s">
        <v>32</v>
      </c>
      <c r="I44" s="2" t="s">
        <v>15</v>
      </c>
      <c r="J44" s="4" t="s">
        <v>167</v>
      </c>
    </row>
    <row r="45" spans="1:10" ht="36" x14ac:dyDescent="0.25">
      <c r="A45" s="5" t="s">
        <v>168</v>
      </c>
      <c r="B45" s="5" t="s">
        <v>10</v>
      </c>
      <c r="C45" s="5" t="s">
        <v>169</v>
      </c>
      <c r="D45" s="16">
        <v>340</v>
      </c>
      <c r="E45" s="5" t="s">
        <v>20</v>
      </c>
      <c r="F45" s="16">
        <v>3100</v>
      </c>
      <c r="G45" s="6">
        <f t="shared" si="0"/>
        <v>0.10967741935483871</v>
      </c>
      <c r="H45" s="5" t="s">
        <v>48</v>
      </c>
      <c r="I45" s="5" t="s">
        <v>36</v>
      </c>
      <c r="J45" s="7" t="s">
        <v>170</v>
      </c>
    </row>
    <row r="46" spans="1:10" ht="24" x14ac:dyDescent="0.25">
      <c r="A46" s="5" t="s">
        <v>171</v>
      </c>
      <c r="B46" s="5" t="s">
        <v>10</v>
      </c>
      <c r="C46" s="5" t="s">
        <v>172</v>
      </c>
      <c r="D46" s="16">
        <v>500</v>
      </c>
      <c r="E46" s="5" t="s">
        <v>20</v>
      </c>
      <c r="F46" s="16">
        <v>2300</v>
      </c>
      <c r="G46" s="6">
        <f t="shared" si="0"/>
        <v>0.21739130434782608</v>
      </c>
      <c r="H46" s="5" t="s">
        <v>48</v>
      </c>
      <c r="I46" s="5" t="s">
        <v>36</v>
      </c>
      <c r="J46" s="7" t="s">
        <v>173</v>
      </c>
    </row>
    <row r="47" spans="1:10" ht="36" x14ac:dyDescent="0.25">
      <c r="A47" s="9" t="s">
        <v>174</v>
      </c>
      <c r="B47" s="8"/>
      <c r="C47" s="9" t="s">
        <v>175</v>
      </c>
      <c r="D47" s="17">
        <f>SUMIF(I2:I46,"Yes",D2:D46)</f>
        <v>14243.600000000002</v>
      </c>
      <c r="E47" s="8"/>
      <c r="F47" s="17">
        <v>110000</v>
      </c>
      <c r="G47" s="10">
        <f t="shared" si="0"/>
        <v>0.12948727272727276</v>
      </c>
      <c r="H47" s="8"/>
      <c r="I47" s="8"/>
      <c r="J47" s="11" t="s">
        <v>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zoomScaleNormal="100" workbookViewId="0"/>
  </sheetViews>
  <sheetFormatPr baseColWidth="10" defaultColWidth="8.7109375" defaultRowHeight="15" x14ac:dyDescent="0.25"/>
  <cols>
    <col min="1" max="1" width="110" customWidth="1"/>
  </cols>
  <sheetData>
    <row r="1" spans="1:1" ht="18" x14ac:dyDescent="0.25">
      <c r="A1" s="12" t="s">
        <v>177</v>
      </c>
    </row>
    <row r="2" spans="1:1" x14ac:dyDescent="0.25">
      <c r="A2" s="13"/>
    </row>
    <row r="3" spans="1:1" x14ac:dyDescent="0.25">
      <c r="A3" s="13" t="s">
        <v>178</v>
      </c>
    </row>
    <row r="4" spans="1:1" x14ac:dyDescent="0.25">
      <c r="A4" s="14" t="s">
        <v>179</v>
      </c>
    </row>
    <row r="5" spans="1:1" x14ac:dyDescent="0.25">
      <c r="A5" s="13"/>
    </row>
    <row r="6" spans="1:1" x14ac:dyDescent="0.25">
      <c r="A6" s="13" t="s">
        <v>180</v>
      </c>
    </row>
    <row r="7" spans="1:1" ht="25.5" x14ac:dyDescent="0.25">
      <c r="A7" s="14" t="s">
        <v>181</v>
      </c>
    </row>
    <row r="8" spans="1:1" x14ac:dyDescent="0.25">
      <c r="A8" s="13"/>
    </row>
    <row r="9" spans="1:1" x14ac:dyDescent="0.25">
      <c r="A9" s="13" t="s">
        <v>182</v>
      </c>
    </row>
    <row r="10" spans="1:1" x14ac:dyDescent="0.25">
      <c r="A10" s="14" t="s">
        <v>183</v>
      </c>
    </row>
    <row r="11" spans="1:1" x14ac:dyDescent="0.25">
      <c r="A11" s="14" t="s">
        <v>184</v>
      </c>
    </row>
    <row r="12" spans="1:1" x14ac:dyDescent="0.25">
      <c r="A12" s="14" t="s">
        <v>185</v>
      </c>
    </row>
    <row r="13" spans="1:1" x14ac:dyDescent="0.25">
      <c r="A13" s="14" t="s">
        <v>186</v>
      </c>
    </row>
    <row r="14" spans="1:1" x14ac:dyDescent="0.25">
      <c r="A14" s="14" t="s">
        <v>187</v>
      </c>
    </row>
    <row r="15" spans="1:1" x14ac:dyDescent="0.25">
      <c r="A15" s="14" t="s">
        <v>188</v>
      </c>
    </row>
    <row r="16" spans="1:1" x14ac:dyDescent="0.25">
      <c r="A16" s="14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SWF vs GDP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reviewer</cp:lastModifiedBy>
  <cp:revision>0</cp:revision>
  <dcterms:created xsi:type="dcterms:W3CDTF">2026-07-08T22:52:46Z</dcterms:created>
  <dcterms:modified xsi:type="dcterms:W3CDTF">2026-07-08T23:29:53Z</dcterms:modified>
  <dc:language>en-US</dc:language>
</cp:coreProperties>
</file>